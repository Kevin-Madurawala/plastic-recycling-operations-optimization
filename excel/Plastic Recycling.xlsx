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evin\Downloads\"/>
    </mc:Choice>
  </mc:AlternateContent>
  <xr:revisionPtr revIDLastSave="0" documentId="8_{8F2B4401-71E4-4BBC-B9F4-25C4D199330B}" xr6:coauthVersionLast="47" xr6:coauthVersionMax="47" xr10:uidLastSave="{00000000-0000-0000-0000-000000000000}"/>
  <bookViews>
    <workbookView xWindow="-108" yWindow="-108" windowWidth="23256" windowHeight="12456" xr2:uid="{1DA920E3-F463-4B44-BBF8-51489B097858}"/>
  </bookViews>
  <sheets>
    <sheet name="Customers" sheetId="1" r:id="rId1"/>
    <sheet name="Pickups" sheetId="2" r:id="rId2"/>
    <sheet name="Processing_Batches" sheetId="3" r:id="rId3"/>
    <sheet name="Quality_Records" sheetId="4" r:id="rId4"/>
    <sheet name="Downtime_Events" sheetId="5" r:id="rId5"/>
    <sheet name="Excel_Analysis" sheetId="6" r:id="rId6"/>
  </sheets>
  <calcPr calcId="191029"/>
  <pivotCaches>
    <pivotCache cacheId="15" r:id="rId7"/>
    <pivotCache cacheId="16" r:id="rId8"/>
    <pivotCache cacheId="17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3" i="6" l="1"/>
  <c r="S4" i="6"/>
  <c r="S5" i="6"/>
  <c r="S6" i="6"/>
  <c r="S7" i="6"/>
  <c r="S8" i="6"/>
  <c r="S2" i="6"/>
  <c r="R3" i="6"/>
  <c r="R4" i="6"/>
  <c r="R5" i="6"/>
  <c r="R6" i="6"/>
  <c r="R7" i="6"/>
  <c r="R8" i="6"/>
  <c r="R2" i="6"/>
</calcChain>
</file>

<file path=xl/sharedStrings.xml><?xml version="1.0" encoding="utf-8"?>
<sst xmlns="http://schemas.openxmlformats.org/spreadsheetml/2006/main" count="4210" uniqueCount="1239">
  <si>
    <t>Customer_ID</t>
  </si>
  <si>
    <t>Customer_Name</t>
  </si>
  <si>
    <t>City</t>
  </si>
  <si>
    <t>Pickup_ID</t>
  </si>
  <si>
    <t>Pickup_Date</t>
  </si>
  <si>
    <t>Material</t>
  </si>
  <si>
    <t>Weight_KG</t>
  </si>
  <si>
    <t>Distance_KM</t>
  </si>
  <si>
    <t>Pickup_Status</t>
  </si>
  <si>
    <t>Batch_ID</t>
  </si>
  <si>
    <t>Batch_Date</t>
  </si>
  <si>
    <t>Machine</t>
  </si>
  <si>
    <t>Input_KG</t>
  </si>
  <si>
    <t>Processing_Time_HR</t>
  </si>
  <si>
    <t>Output_KG</t>
  </si>
  <si>
    <t>Yield</t>
  </si>
  <si>
    <t>Throughput_KG/HR</t>
  </si>
  <si>
    <t>Quality_ID</t>
  </si>
  <si>
    <t>Contamination_Percent</t>
  </si>
  <si>
    <t>Rejected_Kilograms</t>
  </si>
  <si>
    <t>Quality_Status</t>
  </si>
  <si>
    <t>Event_ID</t>
  </si>
  <si>
    <t>Date</t>
  </si>
  <si>
    <t>Downtime_Reason</t>
  </si>
  <si>
    <t>Downtime_Duration</t>
  </si>
  <si>
    <t>D001</t>
  </si>
  <si>
    <t>Shredder 1</t>
  </si>
  <si>
    <t>Operator Delay</t>
  </si>
  <si>
    <t>D002</t>
  </si>
  <si>
    <t>Shredder 2</t>
  </si>
  <si>
    <t>Maintenance</t>
  </si>
  <si>
    <t>D003</t>
  </si>
  <si>
    <t>Sorter 1</t>
  </si>
  <si>
    <t>D004</t>
  </si>
  <si>
    <t>Pelletizer 1</t>
  </si>
  <si>
    <t>Cleaning</t>
  </si>
  <si>
    <t>D005</t>
  </si>
  <si>
    <t>Washer 1</t>
  </si>
  <si>
    <t>Material Jam</t>
  </si>
  <si>
    <t>D006</t>
  </si>
  <si>
    <t>D007</t>
  </si>
  <si>
    <t>Sensor Fault</t>
  </si>
  <si>
    <t>D008</t>
  </si>
  <si>
    <t>D009</t>
  </si>
  <si>
    <t>Contamination</t>
  </si>
  <si>
    <t>D010</t>
  </si>
  <si>
    <t>D011</t>
  </si>
  <si>
    <t>Changeover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</si>
  <si>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</si>
  <si>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</si>
  <si>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</si>
  <si>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</si>
  <si>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</si>
  <si>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</si>
  <si>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</si>
  <si>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</si>
  <si>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</si>
  <si>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</si>
  <si>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</si>
  <si>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</si>
  <si>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</si>
  <si>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</si>
  <si>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</si>
  <si>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</si>
  <si>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</si>
  <si>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</si>
  <si>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</si>
  <si>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</si>
  <si>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</si>
  <si>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</si>
  <si>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</si>
  <si>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</si>
  <si>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</si>
  <si>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</si>
  <si>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</si>
  <si>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</si>
  <si>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</si>
  <si>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</si>
  <si>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</si>
  <si>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</si>
  <si>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</si>
  <si>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</si>
  <si>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</si>
  <si>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</si>
  <si>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</si>
  <si>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</si>
  <si>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</si>
  <si>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D051</t>
  </si>
  <si>
    <t>D052</t>
  </si>
  <si>
    <t>D053</t>
  </si>
  <si>
    <t>D054</t>
  </si>
  <si>
    <t>D055</t>
  </si>
  <si>
    <t>D056</t>
  </si>
  <si>
    <t>D057</t>
  </si>
  <si>
    <t>D058</t>
  </si>
  <si>
    <t>D059</t>
  </si>
  <si>
    <t>D060</t>
  </si>
  <si>
    <t>D061</t>
  </si>
  <si>
    <t>D062</t>
  </si>
  <si>
    <t>D063</t>
  </si>
  <si>
    <t>D064</t>
  </si>
  <si>
    <t>D065</t>
  </si>
  <si>
    <t>D066</t>
  </si>
  <si>
    <t>D067</t>
  </si>
  <si>
    <t>D068</t>
  </si>
  <si>
    <t>D069</t>
  </si>
  <si>
    <t>D070</t>
  </si>
  <si>
    <t>D071</t>
  </si>
  <si>
    <t>D072</t>
  </si>
  <si>
    <t>D073</t>
  </si>
  <si>
    <t>D074</t>
  </si>
  <si>
    <t>D075</t>
  </si>
  <si>
    <t>D076</t>
  </si>
  <si>
    <t>D077</t>
  </si>
  <si>
    <t>D078</t>
  </si>
  <si>
    <t>D079</t>
  </si>
  <si>
    <t>D080</t>
  </si>
  <si>
    <t>D081</t>
  </si>
  <si>
    <t>D082</t>
  </si>
  <si>
    <t>D083</t>
  </si>
  <si>
    <t>D084</t>
  </si>
  <si>
    <t>D085</t>
  </si>
  <si>
    <t>D086</t>
  </si>
  <si>
    <t>D087</t>
  </si>
  <si>
    <t>D088</t>
  </si>
  <si>
    <t>D089</t>
  </si>
  <si>
    <t>D090</t>
  </si>
  <si>
    <t>D091</t>
  </si>
  <si>
    <t>D092</t>
  </si>
  <si>
    <t>D093</t>
  </si>
  <si>
    <t>D094</t>
  </si>
  <si>
    <t>D095</t>
  </si>
  <si>
    <t>D096</t>
  </si>
  <si>
    <t>D097</t>
  </si>
  <si>
    <t>D098</t>
  </si>
  <si>
    <t>D099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</si>
  <si>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</si>
  <si>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</si>
  <si>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</si>
  <si>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</si>
  <si>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</si>
  <si>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</si>
  <si>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</si>
  <si>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</si>
  <si>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</si>
  <si>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</si>
  <si>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</si>
  <si>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</si>
  <si>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</si>
  <si>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</si>
  <si>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</si>
  <si>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</si>
  <si>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</si>
  <si>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</si>
  <si>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</si>
  <si>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</si>
  <si>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</si>
  <si>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</si>
  <si>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</si>
  <si>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</si>
  <si>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</si>
  <si>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</si>
  <si>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</si>
  <si>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</si>
  <si>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</si>
  <si>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</si>
  <si>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</si>
  <si>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</si>
  <si>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</si>
  <si>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</si>
  <si>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</si>
  <si>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</si>
  <si>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</si>
  <si>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</si>
  <si>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</si>
  <si>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</si>
  <si>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</si>
  <si>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</si>
  <si>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</si>
  <si>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</si>
  <si>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</si>
  <si>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</si>
  <si>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</si>
  <si>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</si>
  <si>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</si>
  <si>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</si>
  <si>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</si>
  <si>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</si>
  <si>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</si>
  <si>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</si>
  <si>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</si>
  <si>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</si>
  <si>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</si>
  <si>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</si>
  <si>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</si>
  <si>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</si>
  <si>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</si>
  <si>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</si>
  <si>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</si>
  <si>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</si>
  <si>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</si>
  <si>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</si>
  <si>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</si>
  <si>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</si>
  <si>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</si>
  <si>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</si>
  <si>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</si>
  <si>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</si>
  <si>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</si>
  <si>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</si>
  <si>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</si>
  <si>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</si>
  <si>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</si>
  <si>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</si>
  <si>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</si>
  <si>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</si>
  <si>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</si>
  <si>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</si>
  <si>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</si>
  <si>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</si>
  <si>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</si>
  <si>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</si>
  <si>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</si>
  <si>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</si>
  <si>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</si>
  <si>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</si>
  <si>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</si>
  <si>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</si>
  <si>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</si>
  <si>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</si>
  <si>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</si>
  <si>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</si>
  <si>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</si>
  <si>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</si>
  <si>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</si>
  <si>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</si>
  <si>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</si>
  <si>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`</t>
  </si>
  <si>
    <t>Q001</t>
  </si>
  <si>
    <t>B001</t>
  </si>
  <si>
    <t>LDPE</t>
  </si>
  <si>
    <t>Fail</t>
  </si>
  <si>
    <t>Q002</t>
  </si>
  <si>
    <t>B002</t>
  </si>
  <si>
    <t>PP</t>
  </si>
  <si>
    <t>Pass</t>
  </si>
  <si>
    <t>Q003</t>
  </si>
  <si>
    <t>B003</t>
  </si>
  <si>
    <t>Q004</t>
  </si>
  <si>
    <t>B004</t>
  </si>
  <si>
    <t>Q005</t>
  </si>
  <si>
    <t>B005</t>
  </si>
  <si>
    <t>PET</t>
  </si>
  <si>
    <t>Q006</t>
  </si>
  <si>
    <t>B006</t>
  </si>
  <si>
    <t>Q007</t>
  </si>
  <si>
    <t>B007</t>
  </si>
  <si>
    <t>Mixed</t>
  </si>
  <si>
    <t>Q008</t>
  </si>
  <si>
    <t>B008</t>
  </si>
  <si>
    <t>Q009</t>
  </si>
  <si>
    <t>B009</t>
  </si>
  <si>
    <t>Q010</t>
  </si>
  <si>
    <t>B010</t>
  </si>
  <si>
    <t>Q011</t>
  </si>
  <si>
    <t>B011</t>
  </si>
  <si>
    <t>Q012</t>
  </si>
  <si>
    <t>B012</t>
  </si>
  <si>
    <t>Q013</t>
  </si>
  <si>
    <t>B013</t>
  </si>
  <si>
    <t>Q014</t>
  </si>
  <si>
    <t>B014</t>
  </si>
  <si>
    <t>Q015</t>
  </si>
  <si>
    <t>B015</t>
  </si>
  <si>
    <t>Q016</t>
  </si>
  <si>
    <t>B016</t>
  </si>
  <si>
    <t>Q017</t>
  </si>
  <si>
    <t>B017</t>
  </si>
  <si>
    <t>HDPE</t>
  </si>
  <si>
    <t>Q018</t>
  </si>
  <si>
    <t>B018</t>
  </si>
  <si>
    <t>Q019</t>
  </si>
  <si>
    <t>B019</t>
  </si>
  <si>
    <t>Q020</t>
  </si>
  <si>
    <t>B020</t>
  </si>
  <si>
    <t>Q021</t>
  </si>
  <si>
    <t>B021</t>
  </si>
  <si>
    <t>Q022</t>
  </si>
  <si>
    <t>B022</t>
  </si>
  <si>
    <t>Q023</t>
  </si>
  <si>
    <t>B023</t>
  </si>
  <si>
    <t>Q024</t>
  </si>
  <si>
    <t>B024</t>
  </si>
  <si>
    <t>Q025</t>
  </si>
  <si>
    <t>B025</t>
  </si>
  <si>
    <t>Q026</t>
  </si>
  <si>
    <t>B026</t>
  </si>
  <si>
    <t>Q027</t>
  </si>
  <si>
    <t>B027</t>
  </si>
  <si>
    <t>Q028</t>
  </si>
  <si>
    <t>B028</t>
  </si>
  <si>
    <t>Q029</t>
  </si>
  <si>
    <t>B029</t>
  </si>
  <si>
    <t>Q030</t>
  </si>
  <si>
    <t>B030</t>
  </si>
  <si>
    <t>Q031</t>
  </si>
  <si>
    <t>B031</t>
  </si>
  <si>
    <t>Q032</t>
  </si>
  <si>
    <t>B032</t>
  </si>
  <si>
    <t>Q033</t>
  </si>
  <si>
    <t>B033</t>
  </si>
  <si>
    <t>Q034</t>
  </si>
  <si>
    <t>B034</t>
  </si>
  <si>
    <t>Q035</t>
  </si>
  <si>
    <t>B035</t>
  </si>
  <si>
    <t>Q036</t>
  </si>
  <si>
    <t>B036</t>
  </si>
  <si>
    <t>Q037</t>
  </si>
  <si>
    <t>B037</t>
  </si>
  <si>
    <t>Q038</t>
  </si>
  <si>
    <t>B038</t>
  </si>
  <si>
    <t>Q039</t>
  </si>
  <si>
    <t>B039</t>
  </si>
  <si>
    <t>Q040</t>
  </si>
  <si>
    <t>B040</t>
  </si>
  <si>
    <t>Q041</t>
  </si>
  <si>
    <t>B041</t>
  </si>
  <si>
    <t>Q042</t>
  </si>
  <si>
    <t>B042</t>
  </si>
  <si>
    <t>Q043</t>
  </si>
  <si>
    <t>B043</t>
  </si>
  <si>
    <t>Q044</t>
  </si>
  <si>
    <t>B044</t>
  </si>
  <si>
    <t>Q045</t>
  </si>
  <si>
    <t>B045</t>
  </si>
  <si>
    <t>Q046</t>
  </si>
  <si>
    <t>B046</t>
  </si>
  <si>
    <t>Q047</t>
  </si>
  <si>
    <t>B047</t>
  </si>
  <si>
    <t>Q048</t>
  </si>
  <si>
    <t>B048</t>
  </si>
  <si>
    <t>Q049</t>
  </si>
  <si>
    <t>B049</t>
  </si>
  <si>
    <t>Q050</t>
  </si>
  <si>
    <t>B050</t>
  </si>
  <si>
    <t>Q051</t>
  </si>
  <si>
    <t>B051</t>
  </si>
  <si>
    <t>Q052</t>
  </si>
  <si>
    <t>B052</t>
  </si>
  <si>
    <t>Q053</t>
  </si>
  <si>
    <t>B053</t>
  </si>
  <si>
    <t>Q054</t>
  </si>
  <si>
    <t>B054</t>
  </si>
  <si>
    <t>Q055</t>
  </si>
  <si>
    <t>B055</t>
  </si>
  <si>
    <t>Q056</t>
  </si>
  <si>
    <t>B056</t>
  </si>
  <si>
    <t>Q057</t>
  </si>
  <si>
    <t>B057</t>
  </si>
  <si>
    <t>Q058</t>
  </si>
  <si>
    <t>B058</t>
  </si>
  <si>
    <t>Q059</t>
  </si>
  <si>
    <t>B059</t>
  </si>
  <si>
    <t>Q060</t>
  </si>
  <si>
    <t>B060</t>
  </si>
  <si>
    <t>Q061</t>
  </si>
  <si>
    <t>B061</t>
  </si>
  <si>
    <t>Q062</t>
  </si>
  <si>
    <t>B062</t>
  </si>
  <si>
    <t>Q063</t>
  </si>
  <si>
    <t>B063</t>
  </si>
  <si>
    <t>Q064</t>
  </si>
  <si>
    <t>B064</t>
  </si>
  <si>
    <t>Q065</t>
  </si>
  <si>
    <t>B065</t>
  </si>
  <si>
    <t>Q066</t>
  </si>
  <si>
    <t>B066</t>
  </si>
  <si>
    <t>Q067</t>
  </si>
  <si>
    <t>B067</t>
  </si>
  <si>
    <t>Q068</t>
  </si>
  <si>
    <t>B068</t>
  </si>
  <si>
    <t>Q069</t>
  </si>
  <si>
    <t>B069</t>
  </si>
  <si>
    <t>Q070</t>
  </si>
  <si>
    <t>B070</t>
  </si>
  <si>
    <t>Q071</t>
  </si>
  <si>
    <t>B071</t>
  </si>
  <si>
    <t>Q072</t>
  </si>
  <si>
    <t>B072</t>
  </si>
  <si>
    <t>Q073</t>
  </si>
  <si>
    <t>B073</t>
  </si>
  <si>
    <t>Q074</t>
  </si>
  <si>
    <t>B074</t>
  </si>
  <si>
    <t>Q075</t>
  </si>
  <si>
    <t>B075</t>
  </si>
  <si>
    <t>Q076</t>
  </si>
  <si>
    <t>B076</t>
  </si>
  <si>
    <t>Q077</t>
  </si>
  <si>
    <t>B077</t>
  </si>
  <si>
    <t>Q078</t>
  </si>
  <si>
    <t>B078</t>
  </si>
  <si>
    <t>Q079</t>
  </si>
  <si>
    <t>B079</t>
  </si>
  <si>
    <t>Q080</t>
  </si>
  <si>
    <t>B080</t>
  </si>
  <si>
    <t>Q081</t>
  </si>
  <si>
    <t>B081</t>
  </si>
  <si>
    <t>Q082</t>
  </si>
  <si>
    <t>B082</t>
  </si>
  <si>
    <t>Q083</t>
  </si>
  <si>
    <t>B083</t>
  </si>
  <si>
    <t>Q084</t>
  </si>
  <si>
    <t>B084</t>
  </si>
  <si>
    <t>Q085</t>
  </si>
  <si>
    <t>B085</t>
  </si>
  <si>
    <t>Q086</t>
  </si>
  <si>
    <t>B086</t>
  </si>
  <si>
    <t>Q087</t>
  </si>
  <si>
    <t>B087</t>
  </si>
  <si>
    <t>Q088</t>
  </si>
  <si>
    <t>B088</t>
  </si>
  <si>
    <t>Q089</t>
  </si>
  <si>
    <t>B089</t>
  </si>
  <si>
    <t>Q090</t>
  </si>
  <si>
    <t>B090</t>
  </si>
  <si>
    <t>Q091</t>
  </si>
  <si>
    <t>B091</t>
  </si>
  <si>
    <t>Q092</t>
  </si>
  <si>
    <t>B092</t>
  </si>
  <si>
    <t>Q093</t>
  </si>
  <si>
    <t>B093</t>
  </si>
  <si>
    <t>Q094</t>
  </si>
  <si>
    <t>B094</t>
  </si>
  <si>
    <t>Q095</t>
  </si>
  <si>
    <t>B095</t>
  </si>
  <si>
    <t>Q096</t>
  </si>
  <si>
    <t>B096</t>
  </si>
  <si>
    <t>Q097</t>
  </si>
  <si>
    <t>B097</t>
  </si>
  <si>
    <t>Q098</t>
  </si>
  <si>
    <t>B098</t>
  </si>
  <si>
    <t>Q099</t>
  </si>
  <si>
    <t>B099</t>
  </si>
  <si>
    <t>Q100</t>
  </si>
  <si>
    <t>B100</t>
  </si>
  <si>
    <t>Q101</t>
  </si>
  <si>
    <t>B101</t>
  </si>
  <si>
    <t>Q102</t>
  </si>
  <si>
    <t>B102</t>
  </si>
  <si>
    <t>Q103</t>
  </si>
  <si>
    <t>B103</t>
  </si>
  <si>
    <t>Q104</t>
  </si>
  <si>
    <t>B104</t>
  </si>
  <si>
    <t>Q105</t>
  </si>
  <si>
    <t>B105</t>
  </si>
  <si>
    <t>Q106</t>
  </si>
  <si>
    <t>B106</t>
  </si>
  <si>
    <t>Q107</t>
  </si>
  <si>
    <t>B107</t>
  </si>
  <si>
    <t>Q108</t>
  </si>
  <si>
    <t>B108</t>
  </si>
  <si>
    <t>Q109</t>
  </si>
  <si>
    <t>B109</t>
  </si>
  <si>
    <t>Q110</t>
  </si>
  <si>
    <t>B110</t>
  </si>
  <si>
    <t>Q111</t>
  </si>
  <si>
    <t>B111</t>
  </si>
  <si>
    <t>Q112</t>
  </si>
  <si>
    <t>B112</t>
  </si>
  <si>
    <t>Q113</t>
  </si>
  <si>
    <t>B113</t>
  </si>
  <si>
    <t>Q114</t>
  </si>
  <si>
    <t>B114</t>
  </si>
  <si>
    <t>Q115</t>
  </si>
  <si>
    <t>B115</t>
  </si>
  <si>
    <t>Q116</t>
  </si>
  <si>
    <t>B116</t>
  </si>
  <si>
    <t>Q117</t>
  </si>
  <si>
    <t>B117</t>
  </si>
  <si>
    <t>Q118</t>
  </si>
  <si>
    <t>B118</t>
  </si>
  <si>
    <t>Q119</t>
  </si>
  <si>
    <t>B119</t>
  </si>
  <si>
    <t>Q120</t>
  </si>
  <si>
    <t>B120</t>
  </si>
  <si>
    <t>Q121</t>
  </si>
  <si>
    <t>B121</t>
  </si>
  <si>
    <t>Q122</t>
  </si>
  <si>
    <t>B122</t>
  </si>
  <si>
    <t>Q123</t>
  </si>
  <si>
    <t>B123</t>
  </si>
  <si>
    <t>Q124</t>
  </si>
  <si>
    <t>B124</t>
  </si>
  <si>
    <t>Q125</t>
  </si>
  <si>
    <t>B125</t>
  </si>
  <si>
    <t>Q126</t>
  </si>
  <si>
    <t>B126</t>
  </si>
  <si>
    <t>Q127</t>
  </si>
  <si>
    <t>B127</t>
  </si>
  <si>
    <t>Q128</t>
  </si>
  <si>
    <t>B128</t>
  </si>
  <si>
    <t>Q129</t>
  </si>
  <si>
    <t>B129</t>
  </si>
  <si>
    <t>Q130</t>
  </si>
  <si>
    <t>B130</t>
  </si>
  <si>
    <t>Q131</t>
  </si>
  <si>
    <t>B131</t>
  </si>
  <si>
    <t>Q132</t>
  </si>
  <si>
    <t>B132</t>
  </si>
  <si>
    <t>Q133</t>
  </si>
  <si>
    <t>B133</t>
  </si>
  <si>
    <t>Q134</t>
  </si>
  <si>
    <t>B134</t>
  </si>
  <si>
    <t>Q135</t>
  </si>
  <si>
    <t>B135</t>
  </si>
  <si>
    <t>Q136</t>
  </si>
  <si>
    <t>B136</t>
  </si>
  <si>
    <t>Q137</t>
  </si>
  <si>
    <t>B137</t>
  </si>
  <si>
    <t>Q138</t>
  </si>
  <si>
    <t>B138</t>
  </si>
  <si>
    <t>Q139</t>
  </si>
  <si>
    <t>B139</t>
  </si>
  <si>
    <t>Q140</t>
  </si>
  <si>
    <t>B140</t>
  </si>
  <si>
    <t>Q141</t>
  </si>
  <si>
    <t>B141</t>
  </si>
  <si>
    <t>Q142</t>
  </si>
  <si>
    <t>B142</t>
  </si>
  <si>
    <t>Q143</t>
  </si>
  <si>
    <t>B143</t>
  </si>
  <si>
    <t>Q144</t>
  </si>
  <si>
    <t>B144</t>
  </si>
  <si>
    <t>Q145</t>
  </si>
  <si>
    <t>B145</t>
  </si>
  <si>
    <t>Q146</t>
  </si>
  <si>
    <t>B146</t>
  </si>
  <si>
    <t>Q147</t>
  </si>
  <si>
    <t>B147</t>
  </si>
  <si>
    <t>Q148</t>
  </si>
  <si>
    <t>B148</t>
  </si>
  <si>
    <t>Q149</t>
  </si>
  <si>
    <t>B149</t>
  </si>
  <si>
    <t>Q150</t>
  </si>
  <si>
    <t>B150</t>
  </si>
  <si>
    <t>Q151</t>
  </si>
  <si>
    <t>B151</t>
  </si>
  <si>
    <t>Q152</t>
  </si>
  <si>
    <t>B152</t>
  </si>
  <si>
    <t>Q153</t>
  </si>
  <si>
    <t>B153</t>
  </si>
  <si>
    <t>Q154</t>
  </si>
  <si>
    <t>B154</t>
  </si>
  <si>
    <t>Q155</t>
  </si>
  <si>
    <t>B155</t>
  </si>
  <si>
    <t>Q156</t>
  </si>
  <si>
    <t>B156</t>
  </si>
  <si>
    <t>Q157</t>
  </si>
  <si>
    <t>B157</t>
  </si>
  <si>
    <t>Q158</t>
  </si>
  <si>
    <t>B158</t>
  </si>
  <si>
    <t>Q159</t>
  </si>
  <si>
    <t>B159</t>
  </si>
  <si>
    <t>Q160</t>
  </si>
  <si>
    <t>B160</t>
  </si>
  <si>
    <t>Q161</t>
  </si>
  <si>
    <t>B161</t>
  </si>
  <si>
    <t>Q162</t>
  </si>
  <si>
    <t>B162</t>
  </si>
  <si>
    <t>Q163</t>
  </si>
  <si>
    <t>B163</t>
  </si>
  <si>
    <t>Q164</t>
  </si>
  <si>
    <t>B164</t>
  </si>
  <si>
    <t>Q165</t>
  </si>
  <si>
    <t>B165</t>
  </si>
  <si>
    <t>Q166</t>
  </si>
  <si>
    <t>B166</t>
  </si>
  <si>
    <t>Q167</t>
  </si>
  <si>
    <t>B167</t>
  </si>
  <si>
    <t>Q168</t>
  </si>
  <si>
    <t>B168</t>
  </si>
  <si>
    <t>Q169</t>
  </si>
  <si>
    <t>B169</t>
  </si>
  <si>
    <t>Q170</t>
  </si>
  <si>
    <t>B170</t>
  </si>
  <si>
    <t>Q171</t>
  </si>
  <si>
    <t>B171</t>
  </si>
  <si>
    <t>Q172</t>
  </si>
  <si>
    <t>B172</t>
  </si>
  <si>
    <t>Q173</t>
  </si>
  <si>
    <t>B173</t>
  </si>
  <si>
    <t>Q174</t>
  </si>
  <si>
    <t>B174</t>
  </si>
  <si>
    <t>Q175</t>
  </si>
  <si>
    <t>B175</t>
  </si>
  <si>
    <t>Q176</t>
  </si>
  <si>
    <t>B176</t>
  </si>
  <si>
    <t>Q177</t>
  </si>
  <si>
    <t>B177</t>
  </si>
  <si>
    <t>Q178</t>
  </si>
  <si>
    <t>B178</t>
  </si>
  <si>
    <t>Q179</t>
  </si>
  <si>
    <t>B179</t>
  </si>
  <si>
    <t>Q180</t>
  </si>
  <si>
    <t>B180</t>
  </si>
  <si>
    <t>Q181</t>
  </si>
  <si>
    <t>B181</t>
  </si>
  <si>
    <t>Q182</t>
  </si>
  <si>
    <t>B182</t>
  </si>
  <si>
    <t>Q183</t>
  </si>
  <si>
    <t>B183</t>
  </si>
  <si>
    <t>Q184</t>
  </si>
  <si>
    <t>B184</t>
  </si>
  <si>
    <t>Q185</t>
  </si>
  <si>
    <t>B185</t>
  </si>
  <si>
    <t>Q186</t>
  </si>
  <si>
    <t>B186</t>
  </si>
  <si>
    <t>Q187</t>
  </si>
  <si>
    <t>B187</t>
  </si>
  <si>
    <t>Q188</t>
  </si>
  <si>
    <t>B188</t>
  </si>
  <si>
    <t>Q189</t>
  </si>
  <si>
    <t>B189</t>
  </si>
  <si>
    <t>Q190</t>
  </si>
  <si>
    <t>B190</t>
  </si>
  <si>
    <t>Q191</t>
  </si>
  <si>
    <t>B191</t>
  </si>
  <si>
    <t>Q192</t>
  </si>
  <si>
    <t>B192</t>
  </si>
  <si>
    <t>Q193</t>
  </si>
  <si>
    <t>B193</t>
  </si>
  <si>
    <t>Q194</t>
  </si>
  <si>
    <t>B194</t>
  </si>
  <si>
    <t>Q195</t>
  </si>
  <si>
    <t>B195</t>
  </si>
  <si>
    <t>Q196</t>
  </si>
  <si>
    <t>B196</t>
  </si>
  <si>
    <t>Q197</t>
  </si>
  <si>
    <t>B197</t>
  </si>
  <si>
    <t>Q198</t>
  </si>
  <si>
    <t>B198</t>
  </si>
  <si>
    <t>Q199</t>
  </si>
  <si>
    <t>B199</t>
  </si>
  <si>
    <t>Q200</t>
  </si>
  <si>
    <t>B200</t>
  </si>
  <si>
    <t>P001</t>
  </si>
  <si>
    <t>C024</t>
  </si>
  <si>
    <t>On Time</t>
  </si>
  <si>
    <t>P002</t>
  </si>
  <si>
    <t>C017</t>
  </si>
  <si>
    <t>P003</t>
  </si>
  <si>
    <t>C027</t>
  </si>
  <si>
    <t>P004</t>
  </si>
  <si>
    <t>C003</t>
  </si>
  <si>
    <t>P005</t>
  </si>
  <si>
    <t>LPDE</t>
  </si>
  <si>
    <t>P006</t>
  </si>
  <si>
    <t>C021</t>
  </si>
  <si>
    <t>P007</t>
  </si>
  <si>
    <t>C002</t>
  </si>
  <si>
    <t>P008</t>
  </si>
  <si>
    <t>C023</t>
  </si>
  <si>
    <t>P009</t>
  </si>
  <si>
    <t>C018</t>
  </si>
  <si>
    <t>P010</t>
  </si>
  <si>
    <t>P011</t>
  </si>
  <si>
    <t>C007</t>
  </si>
  <si>
    <t>P012</t>
  </si>
  <si>
    <t>C011</t>
  </si>
  <si>
    <t>P013</t>
  </si>
  <si>
    <t>C012</t>
  </si>
  <si>
    <t>P014</t>
  </si>
  <si>
    <t>P015</t>
  </si>
  <si>
    <t>C010</t>
  </si>
  <si>
    <t>P016</t>
  </si>
  <si>
    <t>P017</t>
  </si>
  <si>
    <t>C026</t>
  </si>
  <si>
    <t>Late</t>
  </si>
  <si>
    <t>P018</t>
  </si>
  <si>
    <t>P019</t>
  </si>
  <si>
    <t>C022</t>
  </si>
  <si>
    <t>P020</t>
  </si>
  <si>
    <t>C008</t>
  </si>
  <si>
    <t>P021</t>
  </si>
  <si>
    <t>P022</t>
  </si>
  <si>
    <t>P023</t>
  </si>
  <si>
    <t>C013</t>
  </si>
  <si>
    <t>P024</t>
  </si>
  <si>
    <t>P025</t>
  </si>
  <si>
    <t>C001</t>
  </si>
  <si>
    <t>P026</t>
  </si>
  <si>
    <t>C025</t>
  </si>
  <si>
    <t>P027</t>
  </si>
  <si>
    <t>P028</t>
  </si>
  <si>
    <t>P029</t>
  </si>
  <si>
    <t>P030</t>
  </si>
  <si>
    <t>P031</t>
  </si>
  <si>
    <t>C015</t>
  </si>
  <si>
    <t>P032</t>
  </si>
  <si>
    <t>P033</t>
  </si>
  <si>
    <t>P034</t>
  </si>
  <si>
    <t>P035</t>
  </si>
  <si>
    <t>P036</t>
  </si>
  <si>
    <t>C005</t>
  </si>
  <si>
    <t>P037</t>
  </si>
  <si>
    <t>C009</t>
  </si>
  <si>
    <t>P038</t>
  </si>
  <si>
    <t>C020</t>
  </si>
  <si>
    <t>P039</t>
  </si>
  <si>
    <t>P040</t>
  </si>
  <si>
    <t>C014</t>
  </si>
  <si>
    <t>P041</t>
  </si>
  <si>
    <t>C006</t>
  </si>
  <si>
    <t>P042</t>
  </si>
  <si>
    <t>C019</t>
  </si>
  <si>
    <t>P043</t>
  </si>
  <si>
    <t>P044</t>
  </si>
  <si>
    <t>C004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</si>
  <si>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</si>
  <si>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</si>
  <si>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</si>
  <si>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</si>
  <si>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</si>
  <si>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</si>
  <si>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</si>
  <si>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</si>
  <si>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</si>
  <si>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</si>
  <si>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</si>
  <si>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C028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</si>
  <si>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</si>
  <si>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</si>
  <si>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</si>
  <si>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</si>
  <si>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</si>
  <si>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</si>
  <si>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</si>
  <si>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</si>
  <si>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</si>
  <si>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</si>
  <si>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</si>
  <si>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</si>
  <si>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</si>
  <si>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</si>
  <si>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</si>
  <si>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</si>
  <si>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</si>
  <si>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</si>
  <si>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</si>
  <si>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</si>
  <si>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</si>
  <si>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</si>
  <si>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</si>
  <si>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</si>
  <si>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</si>
  <si>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</si>
  <si>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</si>
  <si>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</si>
  <si>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</si>
  <si>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</si>
  <si>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</si>
  <si>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</si>
  <si>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</si>
  <si>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</si>
  <si>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</si>
  <si>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</si>
  <si>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</si>
  <si>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</si>
  <si>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</si>
  <si>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</si>
  <si>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</si>
  <si>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</si>
  <si>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</si>
  <si>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C016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</si>
  <si>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</si>
  <si>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</si>
  <si>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</si>
  <si>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</si>
  <si>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</si>
  <si>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</si>
  <si>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</si>
  <si>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</si>
  <si>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</si>
  <si>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</si>
  <si>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</si>
  <si>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</si>
  <si>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C030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</si>
  <si>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</si>
  <si>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</si>
  <si>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</si>
  <si>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</si>
  <si>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</si>
  <si>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</si>
  <si>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</si>
  <si>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</si>
  <si>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</si>
  <si>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</si>
  <si>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</si>
  <si>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</si>
  <si>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</si>
  <si>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</si>
  <si>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</si>
  <si>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</si>
  <si>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</si>
  <si>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</si>
  <si>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</si>
  <si>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</si>
  <si>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</si>
  <si>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C029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</si>
  <si>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</si>
  <si>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</si>
  <si>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</si>
  <si>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</si>
  <si>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</si>
  <si>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</si>
  <si>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</si>
  <si>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</si>
  <si>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</si>
  <si>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</si>
  <si>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</si>
  <si>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</si>
  <si>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</si>
  <si>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</si>
  <si>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</si>
  <si>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</si>
  <si>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</si>
  <si>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</si>
  <si>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</si>
  <si>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</si>
  <si>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</si>
  <si>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</si>
  <si>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</si>
  <si>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</si>
  <si>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</si>
  <si>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</si>
  <si>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</si>
  <si>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</si>
  <si>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</si>
  <si>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</si>
  <si>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</si>
  <si>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</si>
  <si>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</si>
  <si>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</si>
  <si>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</si>
  <si>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</si>
  <si>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</si>
  <si>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</si>
  <si>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</si>
  <si>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</si>
  <si>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</si>
  <si>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</si>
  <si>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</si>
  <si>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</si>
  <si>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</si>
  <si>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</si>
  <si>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</si>
  <si>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</si>
  <si>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</si>
  <si>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</si>
  <si>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</si>
  <si>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</si>
  <si>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</si>
  <si>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</si>
  <si>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</si>
  <si>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</si>
  <si>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</si>
  <si>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</si>
  <si>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</si>
  <si>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</si>
  <si>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</si>
  <si>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</si>
  <si>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</si>
  <si>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</si>
  <si>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</si>
  <si>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</si>
  <si>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</si>
  <si>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</si>
  <si>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</si>
  <si>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</si>
  <si>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</si>
  <si>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</si>
  <si>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</si>
  <si>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</si>
  <si>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</si>
  <si>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</si>
  <si>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</si>
  <si>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</si>
  <si>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</si>
  <si>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</si>
  <si>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</si>
  <si>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</si>
  <si>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</si>
  <si>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</si>
  <si>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</si>
  <si>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</si>
  <si>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</si>
  <si>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</si>
  <si>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</si>
  <si>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</si>
  <si>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</si>
  <si>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</si>
  <si>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</si>
  <si>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</si>
  <si>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</si>
  <si>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</si>
  <si>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</si>
  <si>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</si>
  <si>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</si>
  <si>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</si>
  <si>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</si>
  <si>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</si>
  <si>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</si>
  <si>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</si>
  <si>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</si>
  <si>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</si>
  <si>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</si>
  <si>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</si>
  <si>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</si>
  <si>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</si>
  <si>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</si>
  <si>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</si>
  <si>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</si>
  <si>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</si>
  <si>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</si>
  <si>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</si>
  <si>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</si>
  <si>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</si>
  <si>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</si>
  <si>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</si>
  <si>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</si>
  <si>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</si>
  <si>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</si>
  <si>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</si>
  <si>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</si>
  <si>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</si>
  <si>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</si>
  <si>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</si>
  <si>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</si>
  <si>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</si>
  <si>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</si>
  <si>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</si>
  <si>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</si>
  <si>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</si>
  <si>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</si>
  <si>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</si>
  <si>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</si>
  <si>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</si>
  <si>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</si>
  <si>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</si>
  <si>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</si>
  <si>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</si>
  <si>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</si>
  <si>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</si>
  <si>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</si>
  <si>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</si>
  <si>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</si>
  <si>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</si>
  <si>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</si>
  <si>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</si>
  <si>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</si>
  <si>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</si>
  <si>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</si>
  <si>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</si>
  <si>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</si>
  <si>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</si>
  <si>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</si>
  <si>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</si>
  <si>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</si>
  <si>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</si>
  <si>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</si>
  <si>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</si>
  <si>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</si>
  <si>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</si>
  <si>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</si>
  <si>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</si>
  <si>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</si>
  <si>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</si>
  <si>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</si>
  <si>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</si>
  <si>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</si>
  <si>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</si>
  <si>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</si>
  <si>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</si>
  <si>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</si>
  <si>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</si>
  <si>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</si>
  <si>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</si>
  <si>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</si>
  <si>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</si>
  <si>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</si>
  <si>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</si>
  <si>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</si>
  <si>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</si>
  <si>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</si>
  <si>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</si>
  <si>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</si>
  <si>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</si>
  <si>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</si>
  <si>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</si>
  <si>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</si>
  <si>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</si>
  <si>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</si>
  <si>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</si>
  <si>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</si>
  <si>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</si>
  <si>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</si>
  <si>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</si>
  <si>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</si>
  <si>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</si>
  <si>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</si>
  <si>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</si>
  <si>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</si>
  <si>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</si>
  <si>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</si>
  <si>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</si>
  <si>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</si>
  <si>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</si>
  <si>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</si>
  <si>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</si>
  <si>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</si>
  <si>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</si>
  <si>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</si>
  <si>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</si>
  <si>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</si>
  <si>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</si>
  <si>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</si>
  <si>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</si>
  <si>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</si>
  <si>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</si>
  <si>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</si>
  <si>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</si>
  <si>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</si>
  <si>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</si>
  <si>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</si>
  <si>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</si>
  <si>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</si>
  <si>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</si>
  <si>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</si>
  <si>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</si>
  <si>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</si>
  <si>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</si>
  <si>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</si>
  <si>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</si>
  <si>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</si>
  <si>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</si>
  <si>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</si>
  <si>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</si>
  <si>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</si>
  <si>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</si>
  <si>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</si>
  <si>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</si>
  <si>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</si>
  <si>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</si>
  <si>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</si>
  <si>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</si>
  <si>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</si>
  <si>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</si>
  <si>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</si>
  <si>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</si>
  <si>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</si>
  <si>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</si>
  <si>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</si>
  <si>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</si>
  <si>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</si>
  <si>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</si>
  <si>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</si>
  <si>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</si>
  <si>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</si>
  <si>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</si>
  <si>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</si>
  <si>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</si>
  <si>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</si>
  <si>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</si>
  <si>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</si>
  <si>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</si>
  <si>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</si>
  <si>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</si>
  <si>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</si>
  <si>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</si>
  <si>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</si>
  <si>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</si>
  <si>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</si>
  <si>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</si>
  <si>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</si>
  <si>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</si>
  <si>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</si>
  <si>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</si>
  <si>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</si>
  <si>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</si>
  <si>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</si>
  <si>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</si>
  <si>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</si>
  <si>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</si>
  <si>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</si>
  <si>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</si>
  <si>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</si>
  <si>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</si>
  <si>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</si>
  <si>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</si>
  <si>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</si>
  <si>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</si>
  <si>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</si>
  <si>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</si>
  <si>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</si>
  <si>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</si>
  <si>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</si>
  <si>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</si>
  <si>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</si>
  <si>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</si>
  <si>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</si>
  <si>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</si>
  <si>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</si>
  <si>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</si>
  <si>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</si>
  <si>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</si>
  <si>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</si>
  <si>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</si>
  <si>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</si>
  <si>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</si>
  <si>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</si>
  <si>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</si>
  <si>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</si>
  <si>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</si>
  <si>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</si>
  <si>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</si>
  <si>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</si>
  <si>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</si>
  <si>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</si>
  <si>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</si>
  <si>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</si>
  <si>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</si>
  <si>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</si>
  <si>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</si>
  <si>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</si>
  <si>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</si>
  <si>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</si>
  <si>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</si>
  <si>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</si>
  <si>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</si>
  <si>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</si>
  <si>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</si>
  <si>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</si>
  <si>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</si>
  <si>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</si>
  <si>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</si>
  <si>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</si>
  <si>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</si>
  <si>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</si>
  <si>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</si>
  <si>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</si>
  <si>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</si>
  <si>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</si>
  <si>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</si>
  <si>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</si>
  <si>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</si>
  <si>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</si>
  <si>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</si>
  <si>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</si>
  <si>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</si>
  <si>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</si>
  <si>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</si>
  <si>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</si>
  <si>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</si>
  <si>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</si>
  <si>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</si>
  <si>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</si>
  <si>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</si>
  <si>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</si>
  <si>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</si>
  <si>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</si>
  <si>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</si>
  <si>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</si>
  <si>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</si>
  <si>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</si>
  <si>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</si>
  <si>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</si>
  <si>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</si>
  <si>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</si>
  <si>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Customer01</t>
  </si>
  <si>
    <t>Mississauga</t>
  </si>
  <si>
    <t>Manufacturer</t>
  </si>
  <si>
    <t>Customer02</t>
  </si>
  <si>
    <t>Brampton</t>
  </si>
  <si>
    <t>Customer03</t>
  </si>
  <si>
    <t>Markham</t>
  </si>
  <si>
    <t>Customer04</t>
  </si>
  <si>
    <t>Etobicoke</t>
  </si>
  <si>
    <t>Customer05</t>
  </si>
  <si>
    <t>Oakville</t>
  </si>
  <si>
    <t>Customer06</t>
  </si>
  <si>
    <t>Retailer</t>
  </si>
  <si>
    <t>Customer07</t>
  </si>
  <si>
    <t>Toronto</t>
  </si>
  <si>
    <t>Customer08</t>
  </si>
  <si>
    <t>Customer09</t>
  </si>
  <si>
    <t>Vaughan</t>
  </si>
  <si>
    <t>Warehouse</t>
  </si>
  <si>
    <t>Customer10</t>
  </si>
  <si>
    <t>Distributor</t>
  </si>
  <si>
    <t>Customer11</t>
  </si>
  <si>
    <t>Scarborough</t>
  </si>
  <si>
    <t>Customer12</t>
  </si>
  <si>
    <t>Customer13</t>
  </si>
  <si>
    <t>Customer14</t>
  </si>
  <si>
    <t>Customer15</t>
  </si>
  <si>
    <t>Customer16</t>
  </si>
  <si>
    <t>Customer17</t>
  </si>
  <si>
    <t>Customer18</t>
  </si>
  <si>
    <t>Customer19</t>
  </si>
  <si>
    <t>Customer20</t>
  </si>
  <si>
    <t>Customer21</t>
  </si>
  <si>
    <t>Customer22</t>
  </si>
  <si>
    <t>Customer23</t>
  </si>
  <si>
    <t>Customer24</t>
  </si>
  <si>
    <t>Customer25</t>
  </si>
  <si>
    <t>Customer26</t>
  </si>
  <si>
    <t>Customer27</t>
  </si>
  <si>
    <t>Customer28</t>
  </si>
  <si>
    <t>Customer29</t>
  </si>
  <si>
    <t>Customer30</t>
  </si>
  <si>
    <t>Customer_Type</t>
  </si>
  <si>
    <t>Row Labels</t>
  </si>
  <si>
    <t>Grand Total</t>
  </si>
  <si>
    <t>Average of Throughput_KG/HR</t>
  </si>
  <si>
    <t>Average of Yield</t>
  </si>
  <si>
    <t>Sum of Downtime_Duration</t>
  </si>
  <si>
    <t>Count of Pickup_ID</t>
  </si>
  <si>
    <t>Downtime Cause</t>
  </si>
  <si>
    <t>Minutes</t>
  </si>
  <si>
    <t>% Of Total</t>
  </si>
  <si>
    <t>Cumulative %</t>
  </si>
  <si>
    <t>KPI</t>
  </si>
  <si>
    <t>Your result</t>
  </si>
  <si>
    <t>Average Throughput</t>
  </si>
  <si>
    <t>149.3 kg/hr</t>
  </si>
  <si>
    <t>Average Yield</t>
  </si>
  <si>
    <t>Total Downtime</t>
  </si>
  <si>
    <t>188.4 hr</t>
  </si>
  <si>
    <t>On-Time Pickup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</si>
</sst>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/>
    <xf numFmtId="14" fontId="0" fillId="0" borderId="0" xfId="0" applyNumberFormat="1"/>
    <xf numFmtId="10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0" fontId="1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6">
    <dxf>
      <numFmt numFmtId="19" formatCode="m/d/yyyy"/>
    </dxf>
    <dxf>
      <numFmt numFmtId="14" formatCode="0.00%"/>
    </dxf>
    <dxf>
      <numFmt numFmtId="164" formatCode="0.0"/>
    </dxf>
    <dxf>
      <numFmt numFmtId="14" formatCode="0.00%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[Plastic Recycling.xlsx]Excel_Analysis!PivotTable1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Throughput By Material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Excel_Analysis!$B$1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Excel_Analysis!$A$2:$A$7</c:f>
              <c:strCache>
                <c:ptCount val="5"/>
                <c:pt idx="0">
                  <c:v>PET</c:v>
                </c:pt>
                <c:pt idx="1">
                  <c:v>HDPE</c:v>
                </c:pt>
                <c:pt idx="2">
                  <c:v>PP</c:v>
                </c:pt>
                <c:pt idx="3">
                  <c:v>LDPE</c:v>
                </c:pt>
                <c:pt idx="4">
                  <c:v>Mixed</c:v>
                </c:pt>
              </c:strCache>
            </c:strRef>
          </c:cat>
          <c:val>
            <c:numRef>
              <c:f>Excel_Analysis!$B$2:$B$7</c:f>
              <c:numCache>
                <c:formatCode>0.0</c:formatCode>
                <c:ptCount val="5"/>
                <c:pt idx="0">
                  <c:v>185.66757308062259</c:v>
                </c:pt>
                <c:pt idx="1">
                  <c:v>166.92793390301262</c:v>
                </c:pt>
                <c:pt idx="2">
                  <c:v>158.19823983339546</c:v>
                </c:pt>
                <c:pt idx="3">
                  <c:v>136.59460920891868</c:v>
                </c:pt>
                <c:pt idx="4">
                  <c:v>103.40623274488595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E4-4DC4-86B1-D6885D72A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6686191"/>
        <c:axId val="446910351"/>
      </c:barChart>
      <c:catAx>
        <c:axId val="44668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910351"/>
        <c:crosses val="autoZero"/>
        <c:auto val="1"/>
        <c:lblAlgn val="ctr"/>
        <c:lblOffset val="100"/>
        <c:noMultiLvlLbl val="0"/>
      </c:catAx>
      <c:valAx>
        <c:axId val="44691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686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[Plastic Recycling.xlsx]Excel_Analysis!PivotTable2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Yield By Material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Excel_Analysis!$E$1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Excel_Analysis!$D$2:$D$7</c:f>
              <c:strCache>
                <c:ptCount val="5"/>
                <c:pt idx="0">
                  <c:v>PET</c:v>
                </c:pt>
                <c:pt idx="1">
                  <c:v>HDPE</c:v>
                </c:pt>
                <c:pt idx="2">
                  <c:v>PP</c:v>
                </c:pt>
                <c:pt idx="3">
                  <c:v>LDPE</c:v>
                </c:pt>
                <c:pt idx="4">
                  <c:v>Mixed</c:v>
                </c:pt>
              </c:strCache>
            </c:strRef>
          </c:cat>
          <c:val>
            <c:numRef>
              <c:f>Excel_Analysis!$E$2:$E$7</c:f>
              <c:numCache>
                <c:formatCode>0.00%</c:formatCode>
                <c:ptCount val="5"/>
                <c:pt idx="0">
                  <c:v>0.93402772084888674</c:v>
                </c:pt>
                <c:pt idx="1">
                  <c:v>0.91448718635240667</c:v>
                </c:pt>
                <c:pt idx="2">
                  <c:v>0.905119040600605</c:v>
                </c:pt>
                <c:pt idx="3">
                  <c:v>0.8772532879093633</c:v>
                </c:pt>
                <c:pt idx="4">
                  <c:v>0.78902388718329253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02-4CC3-A769-3C8581D43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0036767"/>
        <c:axId val="446917071"/>
      </c:barChart>
      <c:catAx>
        <c:axId val="8000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917071"/>
        <c:crosses val="autoZero"/>
        <c:auto val="1"/>
        <c:lblAlgn val="ctr"/>
        <c:lblOffset val="100"/>
        <c:noMultiLvlLbl val="0"/>
      </c:catAx>
      <c:valAx>
        <c:axId val="44691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36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[Plastic Recycling.xlsx]Excel_Analysis!PivotTable4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Downtime By Machine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Excel_Analysis!$K$1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Excel_Analysis!$J$2:$J$7</c:f>
              <c:strCache>
                <c:ptCount val="5"/>
                <c:pt idx="0">
                  <c:v>Sorter 1</c:v>
                </c:pt>
                <c:pt idx="1">
                  <c:v>Shredder 1</c:v>
                </c:pt>
                <c:pt idx="2">
                  <c:v>Shredder 2</c:v>
                </c:pt>
                <c:pt idx="3">
                  <c:v>Pelletizer 1</c:v>
                </c:pt>
                <c:pt idx="4">
                  <c:v>Washer 1</c:v>
                </c:pt>
              </c:strCache>
            </c:strRef>
          </c:cat>
          <c:val>
            <c:numRef>
              <c:f>Excel_Analysis!$K$2:$K$7</c:f>
              <c:numCache>
                <c:formatCode>General</c:formatCode>
                <c:ptCount val="5"/>
                <c:pt idx="0">
                  <c:v>2639</c:v>
                </c:pt>
                <c:pt idx="1">
                  <c:v>2585</c:v>
                </c:pt>
                <c:pt idx="2">
                  <c:v>2397</c:v>
                </c:pt>
                <c:pt idx="3">
                  <c:v>2065</c:v>
                </c:pt>
                <c:pt idx="4">
                  <c:v>1617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22-4696-8293-5DA2B74F0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5317023"/>
        <c:axId val="446927151"/>
      </c:barChart>
      <c:catAx>
        <c:axId val="795317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927151"/>
        <c:crosses val="autoZero"/>
        <c:auto val="1"/>
        <c:lblAlgn val="ctr"/>
        <c:lblOffset val="100"/>
        <c:noMultiLvlLbl val="0"/>
      </c:catAx>
      <c:valAx>
        <c:axId val="446927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317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Pareto</a:t>
            </a:r>
            <a:r>
              <a:rPr lang="en-CA" baseline="0"/>
              <a:t> Analysis of Downtime Causes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Excel_Analysis!$Q$1</c:f>
              <c:strCache>
                <c:ptCount val="1"/>
                <c:pt idx="0">
                  <c:v>Minutes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Excel_Analysis!$P$2:$P$8</c:f>
              <c:strCache>
                <c:ptCount val="7"/>
                <c:pt idx="0">
                  <c:v>Maintenance</c:v>
                </c:pt>
                <c:pt idx="1">
                  <c:v>Material Jam</c:v>
                </c:pt>
                <c:pt idx="2">
                  <c:v>Sensor Fault</c:v>
                </c:pt>
                <c:pt idx="3">
                  <c:v>Changeover</c:v>
                </c:pt>
                <c:pt idx="4">
                  <c:v>Cleaning</c:v>
                </c:pt>
                <c:pt idx="5">
                  <c:v>Contamination</c:v>
                </c:pt>
                <c:pt idx="6">
                  <c:v>Operator Delay</c:v>
                </c:pt>
              </c:strCache>
            </c:strRef>
          </c:cat>
          <c:val>
            <c:numRef>
              <c:f>Excel_Analysis!$Q$2:$Q$8</c:f>
              <c:numCache>
                <c:formatCode>General</c:formatCode>
                <c:ptCount val="7"/>
                <c:pt idx="0">
                  <c:v>3668</c:v>
                </c:pt>
                <c:pt idx="1">
                  <c:v>2875</c:v>
                </c:pt>
                <c:pt idx="2">
                  <c:v>1327</c:v>
                </c:pt>
                <c:pt idx="3">
                  <c:v>1103</c:v>
                </c:pt>
                <c:pt idx="4">
                  <c:v>1040</c:v>
                </c:pt>
                <c:pt idx="5">
                  <c:v>776</c:v>
                </c:pt>
                <c:pt idx="6">
                  <c:v>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4E-41C8-A1E2-55E543CC8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7624927"/>
        <c:axId val="1261894255"/>
      </c:barChart>
      <c:lineChart>
        <c:grouping val="standard"/>
        <c:varyColors val="0"/>
        <c:ser>
          <c:idx val="1"/>
          <c:order val="1"/>
          <c:tx>
            <c:strRef>
              <c:f>Excel_Analysis!$S$1</c:f>
              <c:strCache>
                <c:ptCount val="1"/>
                <c:pt idx="0">
                  <c:v>Cumulative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Excel_Analysis!$P$2:$P$8</c:f>
              <c:strCache>
                <c:ptCount val="7"/>
                <c:pt idx="0">
                  <c:v>Maintenance</c:v>
                </c:pt>
                <c:pt idx="1">
                  <c:v>Material Jam</c:v>
                </c:pt>
                <c:pt idx="2">
                  <c:v>Sensor Fault</c:v>
                </c:pt>
                <c:pt idx="3">
                  <c:v>Changeover</c:v>
                </c:pt>
                <c:pt idx="4">
                  <c:v>Cleaning</c:v>
                </c:pt>
                <c:pt idx="5">
                  <c:v>Contamination</c:v>
                </c:pt>
                <c:pt idx="6">
                  <c:v>Operator Delay</c:v>
                </c:pt>
              </c:strCache>
            </c:strRef>
          </c:cat>
          <c:val>
            <c:numRef>
              <c:f>Excel_Analysis!$S$2:$S$8</c:f>
              <c:numCache>
                <c:formatCode>0.00%</c:formatCode>
                <c:ptCount val="7"/>
                <c:pt idx="0">
                  <c:v>0.32451561532336548</c:v>
                </c:pt>
                <c:pt idx="1">
                  <c:v>0.57887286561089979</c:v>
                </c:pt>
                <c:pt idx="2">
                  <c:v>0.69627532513491996</c:v>
                </c:pt>
                <c:pt idx="3">
                  <c:v>0.79386003715827658</c:v>
                </c:pt>
                <c:pt idx="4">
                  <c:v>0.88587100769707161</c:v>
                </c:pt>
                <c:pt idx="5">
                  <c:v>0.95452534725294169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4E-41C8-A1E2-55E543CC8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7689423"/>
        <c:axId val="1261936015"/>
      </c:lineChart>
      <c:catAx>
        <c:axId val="1917624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894255"/>
        <c:crosses val="autoZero"/>
        <c:auto val="1"/>
        <c:lblAlgn val="ctr"/>
        <c:lblOffset val="100"/>
        <c:noMultiLvlLbl val="0"/>
      </c:catAx>
      <c:valAx>
        <c:axId val="126189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624927"/>
        <c:crosses val="autoZero"/>
        <c:crossBetween val="between"/>
      </c:valAx>
      <c:valAx>
        <c:axId val="1261936015"/>
        <c:scaling>
          <c:orientation val="minMax"/>
          <c:max val="1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689423"/>
        <c:crosses val="max"/>
        <c:crossBetween val="between"/>
      </c:valAx>
      <c:catAx>
        <c:axId val="19176894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619360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34290</xdr:rowOff>
    </xdr:from>
    <xdr:to>
      <xdr:col>3</xdr:col>
      <xdr:colOff>91440</xdr:colOff>
      <xdr:row>20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FAB8A8-D994-397A-E361-525803E237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144780</xdr:colOff>
      <xdr:row>9</xdr:row>
      <xdr:rowOff>87630</xdr:rowOff>
    </xdr:from>
    <xdr:to>
      <xdr:col>7</xdr:col>
      <xdr:colOff>518160</xdr:colOff>
      <xdr:row>21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351584-2D78-123D-D026-B1AD98704C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30480</xdr:colOff>
      <xdr:row>9</xdr:row>
      <xdr:rowOff>72390</xdr:rowOff>
    </xdr:from>
    <xdr:to>
      <xdr:col>11</xdr:col>
      <xdr:colOff>358140</xdr:colOff>
      <xdr:row>19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CF3035-090C-45C5-6ACA-EB421C12B5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426720</xdr:colOff>
      <xdr:row>9</xdr:row>
      <xdr:rowOff>95250</xdr:rowOff>
    </xdr:from>
    <xdr:to>
      <xdr:col>18</xdr:col>
      <xdr:colOff>838200</xdr:colOff>
      <xdr:row>24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ADC6463-0054-FC35-9C5E-059381C62E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vin M" refreshedDate="46281.383974189812" createdVersion="8" refreshedVersion="8" minRefreshableVersion="3" recordCount="200" xr:uid="{562DFB8F-BEFB-45FE-99A1-D3161D65370A}">
  <cacheSource type="worksheet">
    <worksheetSource name="Table4"/>
  </cacheSource>
  <cacheFields count="9">
    <cacheField name="Batch_ID" numFmtId="0">
      <sharedItems count="200">
        <s v="B001"/>
        <s v="B002"/>
        <s v="B003"/>
        <s v="B004"/>
        <s v="B005"/>
        <s v="B006"/>
        <s v="B007"/>
        <s v="B008"/>
        <s v="B009"/>
        <s v="B010"/>
        <s v="B011"/>
        <s v="B012"/>
        <s v="B013"/>
        <s v="B014"/>
        <s v="B015"/>
        <s v="B016"/>
        <s v="B017"/>
        <s v="B018"/>
        <s v="B019"/>
        <s v="B020"/>
        <s v="B021"/>
        <s v="B022"/>
        <s v="B023"/>
        <s v="B024"/>
        <s v="B025"/>
        <s v="B026"/>
        <s v="B027"/>
        <s v="B028"/>
        <s v="B029"/>
        <s v="B030"/>
        <s v="B031"/>
        <s v="B032"/>
        <s v="B033"/>
        <s v="B034"/>
        <s v="B035"/>
        <s v="B036"/>
        <s v="B037"/>
        <s v="B038"/>
        <s v="B039"/>
        <s v="B040"/>
        <s v="B041"/>
        <s v="B042"/>
        <s v="B043"/>
        <s v="B044"/>
        <s v="B045"/>
        <s v="B046"/>
        <s v="B047"/>
        <s v="B048"/>
        <s v="B049"/>
        <s v="B050"/>
        <s v="B051"/>
        <s v="B052"/>
        <s v="B053"/>
        <s v="B054"/>
        <s v="B055"/>
        <s v="B056"/>
        <s v="B057"/>
        <s v="B058"/>
        <s v="B059"/>
        <s v="B060"/>
        <s v="B061"/>
        <s v="B062"/>
        <s v="B063"/>
        <s v="B064"/>
        <s v="B065"/>
        <s v="B066"/>
        <s v="B067"/>
        <s v="B068"/>
        <s v="B069"/>
        <s v="B070"/>
        <s v="B071"/>
        <s v="B072"/>
        <s v="B073"/>
        <s v="B074"/>
        <s v="B075"/>
        <s v="B076"/>
        <s v="B077"/>
        <s v="B078"/>
        <s v="B079"/>
        <s v="B080"/>
        <s v="B081"/>
        <s v="B082"/>
        <s v="B083"/>
        <s v="B084"/>
        <s v="B085"/>
        <s v="B086"/>
        <s v="B087"/>
        <s v="B088"/>
        <s v="B089"/>
        <s v="B090"/>
        <s v="B091"/>
        <s v="B092"/>
        <s v="B093"/>
        <s v="B094"/>
        <s v="B095"/>
        <s v="B096"/>
        <s v="B097"/>
        <s v="B098"/>
        <s v="B099"/>
        <s v="B100"/>
        <s v="B101"/>
        <s v="B102"/>
        <s v="B103"/>
        <s v="B104"/>
        <s v="B105"/>
        <s v="B106"/>
        <s v="B107"/>
        <s v="B108"/>
        <s v="B109"/>
        <s v="B110"/>
        <s v="B111"/>
        <s v="B112"/>
        <s v="B113"/>
        <s v="B114"/>
        <s v="B115"/>
        <s v="B116"/>
        <s v="B117"/>
        <s v="B118"/>
        <s v="B119"/>
        <s v="B120"/>
        <s v="B121"/>
        <s v="B122"/>
        <s v="B123"/>
        <s v="B124"/>
        <s v="B125"/>
        <s v="B126"/>
        <s v="B127"/>
        <s v="B128"/>
        <s v="B129"/>
        <s v="B130"/>
        <s v="B131"/>
        <s v="B132"/>
        <s v="B133"/>
        <s v="B134"/>
        <s v="B135"/>
        <s v="B136"/>
        <s v="B137"/>
        <s v="B138"/>
        <s v="B139"/>
        <s v="B140"/>
        <s v="B141"/>
        <s v="B142"/>
        <s v="B143"/>
        <s v="B144"/>
        <s v="B145"/>
        <s v="B146"/>
        <s v="B147"/>
        <s v="B148"/>
        <s v="B149"/>
        <s v="B150"/>
        <s v="B151"/>
        <s v="B152"/>
        <s v="B153"/>
        <s v="B154"/>
        <s v="B155"/>
        <s v="B156"/>
        <s v="B157"/>
        <s v="B158"/>
        <s v="B159"/>
        <s v="B160"/>
        <s v="B161"/>
        <s v="B162"/>
        <s v="B163"/>
        <s v="B164"/>
        <s v="B165"/>
        <s v="B166"/>
        <s v="B167"/>
        <s v="B168"/>
        <s v="B169"/>
        <s v="B170"/>
        <s v="B171"/>
        <s v="B172"/>
        <s v="B173"/>
        <s v="B174"/>
        <s v="B175"/>
        <s v="B176"/>
        <s v="B177"/>
        <s v="B178"/>
        <s v="B179"/>
        <s v="B180"/>
        <s v="B181"/>
        <s v="B182"/>
        <s v="B183"/>
        <s v="B184"/>
        <s v="B185"/>
        <s v="B186"/>
        <s v="B187"/>
        <s v="B188"/>
        <s v="B189"/>
        <s v="B190"/>
        <s v="B191"/>
        <s v="B192"/>
        <s v="B193"/>
        <s v="B194"/>
        <s v="B195"/>
        <s v="B196"/>
        <s v="B197"/>
        <s v="B198"/>
        <s v="B199"/>
        <s v="B200"/>
      </sharedItems>
    </cacheField>
    <cacheField name="Batch_Date" numFmtId="14">
      <sharedItems containsSemiMixedTypes="0" containsNonDate="0" containsDate="1" containsString="0" minDate="2026-01-01T00:00:00" maxDate="2026-12-30T00:00:00"/>
    </cacheField>
    <cacheField name="Material" numFmtId="0">
      <sharedItems count="5">
        <s v="Mixed"/>
        <s v="PET"/>
        <s v="LDPE"/>
        <s v="HDPE"/>
        <s v="PP"/>
      </sharedItems>
    </cacheField>
    <cacheField name="Machine" numFmtId="0">
      <sharedItems/>
    </cacheField>
    <cacheField name="Input_KG" numFmtId="0">
      <sharedItems containsSemiMixedTypes="0" containsString="0" containsNumber="1" containsInteger="1" minValue="508" maxValue="1495"/>
    </cacheField>
    <cacheField name="Processing_Time_HR" numFmtId="0">
      <sharedItems containsSemiMixedTypes="0" containsString="0" containsNumber="1" minValue="2.37" maxValue="10.41"/>
    </cacheField>
    <cacheField name="Output_KG" numFmtId="0">
      <sharedItems containsSemiMixedTypes="0" containsString="0" containsNumber="1" containsInteger="1" minValue="412" maxValue="1400"/>
    </cacheField>
    <cacheField name="Yield" numFmtId="10">
      <sharedItems containsSemiMixedTypes="0" containsString="0" containsNumber="1" minValue="0.72005383580080751" maxValue="0.97032640949554894"/>
    </cacheField>
    <cacheField name="Throughput_KG/HR" numFmtId="164">
      <sharedItems containsSemiMixedTypes="0" containsString="0" containsNumber="1" minValue="89.386401326699826" maxValue="208.860759493670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vin M" refreshedDate="46281.388725810182" createdVersion="8" refreshedVersion="8" minRefreshableVersion="3" recordCount="200" xr:uid="{9C116220-5B11-49BB-9258-5FB07497997D}">
  <cacheSource type="worksheet">
    <worksheetSource name="Table2"/>
  </cacheSource>
  <cacheFields count="5">
    <cacheField name="Event_ID" numFmtId="0">
      <sharedItems/>
    </cacheField>
    <cacheField name="Date" numFmtId="14">
      <sharedItems containsSemiMixedTypes="0" containsNonDate="0" containsDate="1" containsString="0" minDate="2026-01-01T00:00:00" maxDate="2027-01-01T00:00:00"/>
    </cacheField>
    <cacheField name="Machine" numFmtId="0">
      <sharedItems count="5">
        <s v="Shredder 1"/>
        <s v="Shredder 2"/>
        <s v="Sorter 1"/>
        <s v="Pelletizer 1"/>
        <s v="Washer 1"/>
      </sharedItems>
    </cacheField>
    <cacheField name="Downtime_Reason" numFmtId="0">
      <sharedItems count="7">
        <s v="Operator Delay"/>
        <s v="Maintenance"/>
        <s v="Cleaning"/>
        <s v="Material Jam"/>
        <s v="Sensor Fault"/>
        <s v="Contamination"/>
        <s v="Changeover"/>
      </sharedItems>
    </cacheField>
    <cacheField name="Downtime_Duration" numFmtId="0">
      <sharedItems containsSemiMixedTypes="0" containsString="0" containsNumber="1" containsInteger="1" minValue="11" maxValue="1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vin M" refreshedDate="46281.389405324073" createdVersion="8" refreshedVersion="8" minRefreshableVersion="3" recordCount="500" xr:uid="{2A4FF4BB-B352-433D-BD5E-20ADC334E50C}">
  <cacheSource type="worksheet">
    <worksheetSource name="Table5"/>
  </cacheSource>
  <cacheFields count="7">
    <cacheField name="Pickup_ID" numFmtId="0">
      <sharedItems count="500">
        <s v="P001"/>
        <s v="P002"/>
        <s v="P003"/>
        <s v="P004"/>
        <s v="P005"/>
        <s v="P006"/>
        <s v="P007"/>
        <s v="P008"/>
        <s v="P009"/>
        <s v="P010"/>
        <s v="P011"/>
        <s v="P012"/>
        <s v="P013"/>
        <s v="P014"/>
        <s v="P015"/>
        <s v="P016"/>
        <s v="P017"/>
        <s v="P018"/>
        <s v="P019"/>
        <s v="P020"/>
        <s v="P021"/>
        <s v="P022"/>
        <s v="P023"/>
        <s v="P024"/>
        <s v="P025"/>
        <s v="P026"/>
        <s v="P027"/>
        <s v="P028"/>
        <s v="P029"/>
        <s v="P030"/>
        <s v="P031"/>
        <s v="P032"/>
        <s v="P033"/>
        <s v="P034"/>
        <s v="P035"/>
        <s v="P036"/>
        <s v="P037"/>
        <s v="P038"/>
        <s v="P039"/>
        <s v="P040"/>
        <s v="P041"/>
        <s v="P042"/>
        <s v="P043"/>
        <s v="P044"/>
        <s v="P045"/>
        <s v="P046"/>
        <s v="P047"/>
        <s v="P048"/>
        <s v="P049"/>
        <s v="P050"/>
        <s v="P051"/>
        <s v="P052"/>
        <s v="P053"/>
        <s v="P054"/>
        <s v="P055"/>
        <s v="P056"/>
        <s v="P057"/>
        <s v="P058"/>
        <s v="P059"/>
        <s v="P060"/>
        <s v="P061"/>
        <s v="P062"/>
        <s v="P063"/>
        <s v="P064"/>
        <s v="P065"/>
        <s v="P066"/>
        <s v="P067"/>
        <s v="P068"/>
        <s v="P069"/>
        <s v="P070"/>
        <s v="P071"/>
        <s v="P072"/>
        <s v="P073"/>
        <s v="P074"/>
        <s v="P075"/>
        <s v="P076"/>
        <s v="P077"/>
        <s v="P078"/>
        <s v="P079"/>
        <s v="P080"/>
        <s v="P081"/>
        <s v="P082"/>
        <s v="P083"/>
        <s v="P084"/>
        <s v="P085"/>
        <s v="P086"/>
        <s v="P087"/>
        <s v="P088"/>
        <s v="P089"/>
        <s v="P090"/>
        <s v="P091"/>
        <s v="P092"/>
        <s v="P093"/>
        <s v="P094"/>
        <s v="P095"/>
        <s v="P096"/>
        <s v="P097"/>
        <s v="P098"/>
        <s v="P099"/>
        <s v="P100"/>
        <s v="P101"/>
        <s v="P102"/>
        <s v="P103"/>
        <s v="P104"/>
        <s v="P105"/>
        <s v="P106"/>
        <s v="P107"/>
        <s v="P108"/>
        <s v="P109"/>
        <s v="P110"/>
        <s v="P111"/>
        <s v="P112"/>
        <s v="P113"/>
        <s v="P114"/>
        <s v="P115"/>
        <s v="P116"/>
        <s v="P117"/>
        <s v="P118"/>
        <s v="P119"/>
        <s v="P120"/>
        <s v="P121"/>
        <s v="P122"/>
        <s v="P123"/>
        <s v="P124"/>
        <s v="P125"/>
        <s v="P126"/>
        <s v="P127"/>
        <s v="P128"/>
        <s v="P129"/>
        <s v="P130"/>
        <s v="P131"/>
        <s v="P132"/>
        <s v="P133"/>
        <s v="P134"/>
        <s v="P135"/>
        <s v="P136"/>
        <s v="P137"/>
        <s v="P138"/>
        <s v="P139"/>
        <s v="P140"/>
        <s v="P141"/>
        <s v="P142"/>
        <s v="P143"/>
        <s v="P144"/>
        <s v="P145"/>
        <s v="P146"/>
        <s v="P147"/>
        <s v="P148"/>
        <s v="P149"/>
        <s v="P150"/>
        <s v="P151"/>
        <s v="P152"/>
        <s v="P153"/>
        <s v="P154"/>
        <s v="P155"/>
        <s v="P156"/>
        <s v="P157"/>
        <s v="P158"/>
        <s v="P159"/>
        <s v="P160"/>
        <s v="P161"/>
        <s v="P162"/>
        <s v="P163"/>
        <s v="P164"/>
        <s v="P165"/>
        <s v="P166"/>
        <s v="P167"/>
        <s v="P168"/>
        <s v="P169"/>
        <s v="P170"/>
        <s v="P171"/>
        <s v="P172"/>
        <s v="P173"/>
        <s v="P174"/>
        <s v="P175"/>
        <s v="P176"/>
        <s v="P177"/>
        <s v="P178"/>
        <s v="P179"/>
        <s v="P180"/>
        <s v="P181"/>
        <s v="P182"/>
        <s v="P183"/>
        <s v="P184"/>
        <s v="P185"/>
        <s v="P186"/>
        <s v="P187"/>
        <s v="P188"/>
        <s v="P189"/>
        <s v="P190"/>
        <s v="P191"/>
        <s v="P192"/>
        <s v="P193"/>
        <s v="P194"/>
        <s v="P195"/>
        <s v="P196"/>
        <s v="P197"/>
        <s v="P198"/>
        <s v="P199"/>
        <s v="P200"/>
        <s v="P201"/>
        <s v="P202"/>
        <s v="P203"/>
        <s v="P204"/>
        <s v="P205"/>
        <s v="P206"/>
        <s v="P207"/>
        <s v="P208"/>
        <s v="P209"/>
        <s v="P210"/>
        <s v="P211"/>
        <s v="P212"/>
        <s v="P213"/>
        <s v="P214"/>
        <s v="P215"/>
        <s v="P216"/>
        <s v="P217"/>
        <s v="P218"/>
        <s v="P219"/>
        <s v="P220"/>
        <s v="P221"/>
        <s v="P222"/>
        <s v="P223"/>
        <s v="P224"/>
        <s v="P225"/>
        <s v="P226"/>
        <s v="P227"/>
        <s v="P228"/>
        <s v="P229"/>
        <s v="P230"/>
        <s v="P231"/>
        <s v="P232"/>
        <s v="P233"/>
        <s v="P234"/>
        <s v="P235"/>
        <s v="P236"/>
        <s v="P237"/>
        <s v="P238"/>
        <s v="P239"/>
        <s v="P240"/>
        <s v="P241"/>
        <s v="P242"/>
        <s v="P243"/>
        <s v="P244"/>
        <s v="P245"/>
        <s v="P246"/>
        <s v="P247"/>
        <s v="P248"/>
        <s v="P249"/>
        <s v="P250"/>
        <s v="P251"/>
        <s v="P252"/>
        <s v="P253"/>
        <s v="P254"/>
        <s v="P255"/>
        <s v="P256"/>
        <s v="P257"/>
        <s v="P258"/>
        <s v="P259"/>
        <s v="P260"/>
        <s v="P261"/>
        <s v="P262"/>
        <s v="P263"/>
        <s v="P264"/>
        <s v="P265"/>
        <s v="P266"/>
        <s v="P267"/>
        <s v="P268"/>
        <s v="P269"/>
        <s v="P270"/>
        <s v="P271"/>
        <s v="P272"/>
        <s v="P273"/>
        <s v="P274"/>
        <s v="P275"/>
        <s v="P276"/>
        <s v="P277"/>
        <s v="P278"/>
        <s v="P279"/>
        <s v="P280"/>
        <s v="P281"/>
        <s v="P282"/>
        <s v="P283"/>
        <s v="P284"/>
        <s v="P285"/>
        <s v="P286"/>
        <s v="P287"/>
        <s v="P288"/>
        <s v="P289"/>
        <s v="P290"/>
        <s v="P291"/>
        <s v="P292"/>
        <s v="P293"/>
        <s v="P294"/>
        <s v="P295"/>
        <s v="P296"/>
        <s v="P297"/>
        <s v="P298"/>
        <s v="P299"/>
        <s v="P300"/>
        <s v="P301"/>
        <s v="P302"/>
        <s v="P303"/>
        <s v="P304"/>
        <s v="P305"/>
        <s v="P306"/>
        <s v="P307"/>
        <s v="P308"/>
        <s v="P309"/>
        <s v="P310"/>
        <s v="P311"/>
        <s v="P312"/>
        <s v="P313"/>
        <s v="P314"/>
        <s v="P315"/>
        <s v="P316"/>
        <s v="P317"/>
        <s v="P318"/>
        <s v="P319"/>
        <s v="P320"/>
        <s v="P321"/>
        <s v="P322"/>
        <s v="P323"/>
        <s v="P324"/>
        <s v="P325"/>
        <s v="P326"/>
        <s v="P327"/>
        <s v="P328"/>
        <s v="P329"/>
        <s v="P330"/>
        <s v="P331"/>
        <s v="P332"/>
        <s v="P333"/>
        <s v="P334"/>
        <s v="P335"/>
        <s v="P336"/>
        <s v="P337"/>
        <s v="P338"/>
        <s v="P339"/>
        <s v="P340"/>
        <s v="P341"/>
        <s v="P342"/>
        <s v="P343"/>
        <s v="P344"/>
        <s v="P345"/>
        <s v="P346"/>
        <s v="P347"/>
        <s v="P348"/>
        <s v="P349"/>
        <s v="P350"/>
        <s v="P351"/>
        <s v="P352"/>
        <s v="P353"/>
        <s v="P354"/>
        <s v="P355"/>
        <s v="P356"/>
        <s v="P357"/>
        <s v="P358"/>
        <s v="P359"/>
        <s v="P360"/>
        <s v="P361"/>
        <s v="P362"/>
        <s v="P363"/>
        <s v="P364"/>
        <s v="P365"/>
        <s v="P366"/>
        <s v="P367"/>
        <s v="P368"/>
        <s v="P369"/>
        <s v="P370"/>
        <s v="P371"/>
        <s v="P372"/>
        <s v="P373"/>
        <s v="P374"/>
        <s v="P375"/>
        <s v="P376"/>
        <s v="P377"/>
        <s v="P378"/>
        <s v="P379"/>
        <s v="P380"/>
        <s v="P381"/>
        <s v="P382"/>
        <s v="P383"/>
        <s v="P384"/>
        <s v="P385"/>
        <s v="P386"/>
        <s v="P387"/>
        <s v="P388"/>
        <s v="P389"/>
        <s v="P390"/>
        <s v="P391"/>
        <s v="P392"/>
        <s v="P393"/>
        <s v="P394"/>
        <s v="P395"/>
        <s v="P396"/>
        <s v="P397"/>
        <s v="P398"/>
        <s v="P399"/>
        <s v="P400"/>
        <s v="P401"/>
        <s v="P402"/>
        <s v="P403"/>
        <s v="P404"/>
        <s v="P405"/>
        <s v="P406"/>
        <s v="P407"/>
        <s v="P408"/>
        <s v="P409"/>
        <s v="P410"/>
        <s v="P411"/>
        <s v="P412"/>
        <s v="P413"/>
        <s v="P414"/>
        <s v="P415"/>
        <s v="P416"/>
        <s v="P417"/>
        <s v="P418"/>
        <s v="P419"/>
        <s v="P420"/>
        <s v="P421"/>
        <s v="P422"/>
        <s v="P423"/>
        <s v="P424"/>
        <s v="P425"/>
        <s v="P426"/>
        <s v="P427"/>
        <s v="P428"/>
        <s v="P429"/>
        <s v="P430"/>
        <s v="P431"/>
        <s v="P432"/>
        <s v="P433"/>
        <s v="P434"/>
        <s v="P435"/>
        <s v="P436"/>
        <s v="P437"/>
        <s v="P438"/>
        <s v="P439"/>
        <s v="P440"/>
        <s v="P441"/>
        <s v="P442"/>
        <s v="P443"/>
        <s v="P444"/>
        <s v="P445"/>
        <s v="P446"/>
        <s v="P447"/>
        <s v="P448"/>
        <s v="P449"/>
        <s v="P450"/>
        <s v="P451"/>
        <s v="P452"/>
        <s v="P453"/>
        <s v="P454"/>
        <s v="P455"/>
        <s v="P456"/>
        <s v="P457"/>
        <s v="P458"/>
        <s v="P459"/>
        <s v="P460"/>
        <s v="P461"/>
        <s v="P462"/>
        <s v="P463"/>
        <s v="P464"/>
        <s v="P465"/>
        <s v="P466"/>
        <s v="P467"/>
        <s v="P468"/>
        <s v="P469"/>
        <s v="P470"/>
        <s v="P471"/>
        <s v="P472"/>
        <s v="P473"/>
        <s v="P474"/>
        <s v="P475"/>
        <s v="P476"/>
        <s v="P477"/>
        <s v="P478"/>
        <s v="P479"/>
        <s v="P480"/>
        <s v="P481"/>
        <s v="P482"/>
        <s v="P483"/>
        <s v="P484"/>
        <s v="P485"/>
        <s v="P486"/>
        <s v="P487"/>
        <s v="P488"/>
        <s v="P489"/>
        <s v="P490"/>
        <s v="P491"/>
        <s v="P492"/>
        <s v="P493"/>
        <s v="P494"/>
        <s v="P495"/>
        <s v="P496"/>
        <s v="P497"/>
        <s v="P498"/>
        <s v="P499"/>
        <s v="P500"/>
      </sharedItems>
    </cacheField>
    <cacheField name="Customer_ID" numFmtId="0">
      <sharedItems/>
    </cacheField>
    <cacheField name="Pickup_Date" numFmtId="14">
      <sharedItems containsSemiMixedTypes="0" containsNonDate="0" containsDate="1" containsString="0" minDate="2026-01-01T00:00:00" maxDate="2027-01-01T00:00:00"/>
    </cacheField>
    <cacheField name="Material" numFmtId="0">
      <sharedItems/>
    </cacheField>
    <cacheField name="Weight_KG" numFmtId="0">
      <sharedItems containsSemiMixedTypes="0" containsString="0" containsNumber="1" containsInteger="1" minValue="200" maxValue="1198"/>
    </cacheField>
    <cacheField name="Distance_KM" numFmtId="0">
      <sharedItems containsSemiMixedTypes="0" containsString="0" containsNumber="1" containsInteger="1" minValue="5" maxValue="60"/>
    </cacheField>
    <cacheField name="Pickup_Status" numFmtId="0">
      <sharedItems count="2">
        <s v="On Time"/>
        <s v="La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d v="2026-12-17T00:00:00"/>
    <x v="0"/>
    <s v="Washer 1"/>
    <n v="754"/>
    <n v="5.83"/>
    <n v="573"/>
    <n v="0.75994694960212206"/>
    <n v="98.284734133790735"/>
  </r>
  <r>
    <x v="1"/>
    <d v="2026-11-23T00:00:00"/>
    <x v="1"/>
    <s v="Pelletizer 1"/>
    <n v="1438"/>
    <n v="7.17"/>
    <n v="1380"/>
    <n v="0.95966620305980532"/>
    <n v="192.46861924686192"/>
  </r>
  <r>
    <x v="2"/>
    <d v="2026-05-22T00:00:00"/>
    <x v="2"/>
    <s v="Pelletizer 1"/>
    <n v="1450"/>
    <n v="8.77"/>
    <n v="1247"/>
    <n v="0.86"/>
    <n v="142.18928164196123"/>
  </r>
  <r>
    <x v="3"/>
    <d v="2026-02-12T00:00:00"/>
    <x v="1"/>
    <s v="Shredder 1"/>
    <n v="1031"/>
    <n v="4.72"/>
    <n v="938"/>
    <n v="0.90979631425800189"/>
    <n v="198.72881355932205"/>
  </r>
  <r>
    <x v="4"/>
    <d v="2026-05-11T00:00:00"/>
    <x v="2"/>
    <s v="Sorter 1"/>
    <n v="1099"/>
    <n v="6.49"/>
    <n v="967"/>
    <n v="0.87989080982711554"/>
    <n v="148.9984591679507"/>
  </r>
  <r>
    <x v="5"/>
    <d v="2026-11-05T00:00:00"/>
    <x v="1"/>
    <s v="Shredder 2"/>
    <n v="837"/>
    <n v="4.41"/>
    <n v="812"/>
    <n v="0.97013142174432498"/>
    <n v="184.12698412698413"/>
  </r>
  <r>
    <x v="6"/>
    <d v="2026-05-20T00:00:00"/>
    <x v="1"/>
    <s v="Pelletizer 1"/>
    <n v="934"/>
    <n v="4.8099999999999996"/>
    <n v="869"/>
    <n v="0.93040685224839403"/>
    <n v="180.66528066528068"/>
  </r>
  <r>
    <x v="7"/>
    <d v="2026-03-26T00:00:00"/>
    <x v="3"/>
    <s v="Pelletizer 1"/>
    <n v="1430"/>
    <n v="7.7"/>
    <n v="1316"/>
    <n v="0.92027972027972027"/>
    <n v="170.90909090909091"/>
  </r>
  <r>
    <x v="8"/>
    <d v="2026-05-09T00:00:00"/>
    <x v="4"/>
    <s v="Shredder 2"/>
    <n v="1306"/>
    <n v="7.54"/>
    <n v="1162"/>
    <n v="0.88973966309341501"/>
    <n v="154.11140583554376"/>
  </r>
  <r>
    <x v="9"/>
    <d v="2026-04-18T00:00:00"/>
    <x v="0"/>
    <s v="Shredder 2"/>
    <n v="1296"/>
    <n v="9.5"/>
    <n v="1102"/>
    <n v="0.85030864197530864"/>
    <n v="116"/>
  </r>
  <r>
    <x v="10"/>
    <d v="2026-05-16T00:00:00"/>
    <x v="4"/>
    <s v="Pelletizer 1"/>
    <n v="1312"/>
    <n v="7.3"/>
    <n v="1168"/>
    <n v="0.8902439024390244"/>
    <n v="160"/>
  </r>
  <r>
    <x v="11"/>
    <d v="2026-12-27T00:00:00"/>
    <x v="0"/>
    <s v="Washer 1"/>
    <n v="1072"/>
    <n v="7.9"/>
    <n v="847"/>
    <n v="0.79011194029850751"/>
    <n v="107.21518987341771"/>
  </r>
  <r>
    <x v="12"/>
    <d v="2026-09-20T00:00:00"/>
    <x v="4"/>
    <s v="Washer 1"/>
    <n v="808"/>
    <n v="4.41"/>
    <n v="760"/>
    <n v="0.94059405940594054"/>
    <n v="172.33560090702946"/>
  </r>
  <r>
    <x v="13"/>
    <d v="2026-09-09T00:00:00"/>
    <x v="0"/>
    <s v="Shredder 1"/>
    <n v="802"/>
    <n v="6.39"/>
    <n v="674"/>
    <n v="0.84039900249376553"/>
    <n v="105.47730829420971"/>
  </r>
  <r>
    <x v="14"/>
    <d v="2026-08-27T00:00:00"/>
    <x v="1"/>
    <s v="Pelletizer 1"/>
    <n v="609"/>
    <n v="3.42"/>
    <n v="566"/>
    <n v="0.92939244663382592"/>
    <n v="165.49707602339183"/>
  </r>
  <r>
    <x v="15"/>
    <d v="2026-06-10T00:00:00"/>
    <x v="4"/>
    <s v="Washer 1"/>
    <n v="1446"/>
    <n v="7.84"/>
    <n v="1345"/>
    <n v="0.93015214384508993"/>
    <n v="171.55612244897961"/>
  </r>
  <r>
    <x v="16"/>
    <d v="2026-09-27T00:00:00"/>
    <x v="2"/>
    <s v="Pelletizer 1"/>
    <n v="1123"/>
    <n v="7.37"/>
    <n v="955"/>
    <n v="0.8504007123775601"/>
    <n v="129.57937584803256"/>
  </r>
  <r>
    <x v="17"/>
    <d v="2026-06-06T00:00:00"/>
    <x v="0"/>
    <s v="Shredder 1"/>
    <n v="1330"/>
    <n v="9.67"/>
    <n v="1064"/>
    <n v="0.8"/>
    <n v="110.03102378490176"/>
  </r>
  <r>
    <x v="18"/>
    <d v="2026-04-20T00:00:00"/>
    <x v="0"/>
    <s v="Pelletizer 1"/>
    <n v="1077"/>
    <n v="8.1"/>
    <n v="797"/>
    <n v="0.74001857010213556"/>
    <n v="98.395061728395063"/>
  </r>
  <r>
    <x v="19"/>
    <d v="2026-07-17T00:00:00"/>
    <x v="3"/>
    <s v="Sorter 1"/>
    <n v="1271"/>
    <n v="6.75"/>
    <n v="1118"/>
    <n v="0.87962234461054289"/>
    <n v="165.62962962962962"/>
  </r>
  <r>
    <x v="20"/>
    <d v="2026-05-16T00:00:00"/>
    <x v="2"/>
    <s v="Pelletizer 1"/>
    <n v="821"/>
    <n v="5.33"/>
    <n v="747"/>
    <n v="0.90986601705237513"/>
    <n v="140.1500938086304"/>
  </r>
  <r>
    <x v="21"/>
    <d v="2026-12-18T00:00:00"/>
    <x v="2"/>
    <s v="Shredder 1"/>
    <n v="509"/>
    <n v="3.5"/>
    <n v="468"/>
    <n v="0.91944990176817287"/>
    <n v="133.71428571428572"/>
  </r>
  <r>
    <x v="22"/>
    <d v="2026-01-18T00:00:00"/>
    <x v="2"/>
    <s v="Shredder 1"/>
    <n v="849"/>
    <n v="5.48"/>
    <n v="722"/>
    <n v="0.85041224970553597"/>
    <n v="131.75182481751824"/>
  </r>
  <r>
    <x v="23"/>
    <d v="2026-01-25T00:00:00"/>
    <x v="3"/>
    <s v="Washer 1"/>
    <n v="743"/>
    <n v="3.9"/>
    <n v="661"/>
    <n v="0.88963660834454916"/>
    <n v="169.4871794871795"/>
  </r>
  <r>
    <x v="24"/>
    <d v="2026-01-05T00:00:00"/>
    <x v="0"/>
    <s v="Pelletizer 1"/>
    <n v="585"/>
    <n v="4.9400000000000004"/>
    <n v="486"/>
    <n v="0.83076923076923082"/>
    <n v="98.380566801619423"/>
  </r>
  <r>
    <x v="25"/>
    <d v="2026-10-06T00:00:00"/>
    <x v="0"/>
    <s v="Washer 1"/>
    <n v="882"/>
    <n v="6.72"/>
    <n v="679"/>
    <n v="0.76984126984126988"/>
    <n v="101.04166666666667"/>
  </r>
  <r>
    <x v="26"/>
    <d v="2026-03-21T00:00:00"/>
    <x v="4"/>
    <s v="Pelletizer 1"/>
    <n v="902"/>
    <n v="5.4"/>
    <n v="803"/>
    <n v="0.8902439024390244"/>
    <n v="148.7037037037037"/>
  </r>
  <r>
    <x v="27"/>
    <d v="2026-07-12T00:00:00"/>
    <x v="2"/>
    <s v="Washer 1"/>
    <n v="779"/>
    <n v="4.99"/>
    <n v="701"/>
    <n v="0.8998716302952503"/>
    <n v="140.4809619238477"/>
  </r>
  <r>
    <x v="28"/>
    <d v="2026-07-23T00:00:00"/>
    <x v="1"/>
    <s v="Washer 1"/>
    <n v="1457"/>
    <n v="6.69"/>
    <n v="1340"/>
    <n v="0.91969800960878523"/>
    <n v="200.29895366218236"/>
  </r>
  <r>
    <x v="29"/>
    <d v="2026-05-13T00:00:00"/>
    <x v="4"/>
    <s v="Washer 1"/>
    <n v="689"/>
    <n v="4.25"/>
    <n v="641"/>
    <n v="0.93033381712626995"/>
    <n v="150.8235294117647"/>
  </r>
  <r>
    <x v="30"/>
    <d v="2026-08-21T00:00:00"/>
    <x v="1"/>
    <s v="Shredder 1"/>
    <n v="594"/>
    <n v="3.13"/>
    <n v="535"/>
    <n v="0.90067340067340063"/>
    <n v="170.926517571885"/>
  </r>
  <r>
    <x v="31"/>
    <d v="2026-11-10T00:00:00"/>
    <x v="1"/>
    <s v="Pelletizer 1"/>
    <n v="1140"/>
    <n v="5.85"/>
    <n v="1083"/>
    <n v="0.95"/>
    <n v="185.12820512820514"/>
  </r>
  <r>
    <x v="32"/>
    <d v="2026-11-08T00:00:00"/>
    <x v="3"/>
    <s v="Shredder 2"/>
    <n v="869"/>
    <n v="4.37"/>
    <n v="799"/>
    <n v="0.91944764096662834"/>
    <n v="182.837528604119"/>
  </r>
  <r>
    <x v="33"/>
    <d v="2026-06-17T00:00:00"/>
    <x v="0"/>
    <s v="Pelletizer 1"/>
    <n v="1232"/>
    <n v="9.32"/>
    <n v="1010"/>
    <n v="0.81980519480519476"/>
    <n v="108.36909871244634"/>
  </r>
  <r>
    <x v="34"/>
    <d v="2026-11-03T00:00:00"/>
    <x v="2"/>
    <s v="Pelletizer 1"/>
    <n v="839"/>
    <n v="5.24"/>
    <n v="730"/>
    <n v="0.87008343265792609"/>
    <n v="139.31297709923663"/>
  </r>
  <r>
    <x v="35"/>
    <d v="2026-01-21T00:00:00"/>
    <x v="1"/>
    <s v="Washer 1"/>
    <n v="1004"/>
    <n v="5.34"/>
    <n v="974"/>
    <n v="0.97011952191235062"/>
    <n v="182.39700374531836"/>
  </r>
  <r>
    <x v="36"/>
    <d v="2026-08-07T00:00:00"/>
    <x v="4"/>
    <s v="Pelletizer 1"/>
    <n v="930"/>
    <n v="5.0999999999999996"/>
    <n v="874"/>
    <n v="0.93978494623655917"/>
    <n v="171.37254901960785"/>
  </r>
  <r>
    <x v="37"/>
    <d v="2026-03-15T00:00:00"/>
    <x v="0"/>
    <s v="Washer 1"/>
    <n v="1012"/>
    <n v="7.59"/>
    <n v="779"/>
    <n v="0.76976284584980237"/>
    <n v="102.63504611330698"/>
  </r>
  <r>
    <x v="38"/>
    <d v="2026-04-11T00:00:00"/>
    <x v="4"/>
    <s v="Shredder 1"/>
    <n v="1258"/>
    <n v="7.24"/>
    <n v="1157"/>
    <n v="0.91971383147853736"/>
    <n v="159.80662983425415"/>
  </r>
  <r>
    <x v="39"/>
    <d v="2026-09-03T00:00:00"/>
    <x v="4"/>
    <s v="Pelletizer 1"/>
    <n v="901"/>
    <n v="5.28"/>
    <n v="838"/>
    <n v="0.93007769145394004"/>
    <n v="158.71212121212122"/>
  </r>
  <r>
    <x v="40"/>
    <d v="2026-01-08T00:00:00"/>
    <x v="4"/>
    <s v="Shredder 1"/>
    <n v="561"/>
    <n v="3.62"/>
    <n v="511"/>
    <n v="0.910873440285205"/>
    <n v="141.16022099447514"/>
  </r>
  <r>
    <x v="41"/>
    <d v="2026-01-13T00:00:00"/>
    <x v="1"/>
    <s v="Sorter 1"/>
    <n v="807"/>
    <n v="4.25"/>
    <n v="751"/>
    <n v="0.93060718711276336"/>
    <n v="176.70588235294119"/>
  </r>
  <r>
    <x v="42"/>
    <d v="2026-11-11T00:00:00"/>
    <x v="1"/>
    <s v="Shredder 2"/>
    <n v="773"/>
    <n v="3.67"/>
    <n v="703"/>
    <n v="0.90944372574385512"/>
    <n v="191.55313351498637"/>
  </r>
  <r>
    <x v="43"/>
    <d v="2026-06-02T00:00:00"/>
    <x v="0"/>
    <s v="Washer 1"/>
    <n v="697"/>
    <n v="5.57"/>
    <n v="592"/>
    <n v="0.84935437589670015"/>
    <n v="106.28366247755834"/>
  </r>
  <r>
    <x v="44"/>
    <d v="2026-01-19T00:00:00"/>
    <x v="4"/>
    <s v="Shredder 2"/>
    <n v="669"/>
    <n v="3.67"/>
    <n v="609"/>
    <n v="0.91031390134529144"/>
    <n v="165.94005449591282"/>
  </r>
  <r>
    <x v="45"/>
    <d v="2026-02-03T00:00:00"/>
    <x v="4"/>
    <s v="Pelletizer 1"/>
    <n v="1170"/>
    <n v="6.55"/>
    <n v="1053"/>
    <n v="0.9"/>
    <n v="160.76335877862596"/>
  </r>
  <r>
    <x v="46"/>
    <d v="2026-09-29T00:00:00"/>
    <x v="2"/>
    <s v="Washer 1"/>
    <n v="605"/>
    <n v="3.91"/>
    <n v="526"/>
    <n v="0.86942148760330573"/>
    <n v="134.52685421994883"/>
  </r>
  <r>
    <x v="47"/>
    <d v="2026-02-28T00:00:00"/>
    <x v="3"/>
    <s v="Shredder 2"/>
    <n v="1031"/>
    <n v="5.47"/>
    <n v="938"/>
    <n v="0.90979631425800189"/>
    <n v="171.48080438756855"/>
  </r>
  <r>
    <x v="48"/>
    <d v="2026-04-18T00:00:00"/>
    <x v="4"/>
    <s v="Shredder 2"/>
    <n v="625"/>
    <n v="3.99"/>
    <n v="556"/>
    <n v="0.88959999999999995"/>
    <n v="139.34837092731829"/>
  </r>
  <r>
    <x v="49"/>
    <d v="2026-05-30T00:00:00"/>
    <x v="2"/>
    <s v="Shredder 2"/>
    <n v="518"/>
    <n v="3.58"/>
    <n v="466"/>
    <n v="0.89961389961389959"/>
    <n v="130.16759776536313"/>
  </r>
  <r>
    <x v="50"/>
    <d v="2026-07-21T00:00:00"/>
    <x v="0"/>
    <s v="Washer 1"/>
    <n v="1393"/>
    <n v="10.41"/>
    <n v="1156"/>
    <n v="0.82986360373295043"/>
    <n v="111.04707012487992"/>
  </r>
  <r>
    <x v="51"/>
    <d v="2026-10-18T00:00:00"/>
    <x v="2"/>
    <s v="Shredder 2"/>
    <n v="1280"/>
    <n v="7.55"/>
    <n v="1139"/>
    <n v="0.88984375000000004"/>
    <n v="150.86092715231788"/>
  </r>
  <r>
    <x v="52"/>
    <d v="2026-12-06T00:00:00"/>
    <x v="3"/>
    <s v="Washer 1"/>
    <n v="1276"/>
    <n v="6.89"/>
    <n v="1199"/>
    <n v="0.93965517241379315"/>
    <n v="174.02031930333817"/>
  </r>
  <r>
    <x v="53"/>
    <d v="2026-04-11T00:00:00"/>
    <x v="3"/>
    <s v="Sorter 1"/>
    <n v="764"/>
    <n v="4.22"/>
    <n v="703"/>
    <n v="0.92015706806282727"/>
    <n v="166.58767772511848"/>
  </r>
  <r>
    <x v="54"/>
    <d v="2026-05-21T00:00:00"/>
    <x v="2"/>
    <s v="Shredder 2"/>
    <n v="977"/>
    <n v="6.46"/>
    <n v="879"/>
    <n v="0.8996929375639714"/>
    <n v="136.06811145510835"/>
  </r>
  <r>
    <x v="55"/>
    <d v="2026-08-06T00:00:00"/>
    <x v="0"/>
    <s v="Pelletizer 1"/>
    <n v="1372"/>
    <n v="10.029999999999999"/>
    <n v="988"/>
    <n v="0.72011661807580174"/>
    <n v="98.504486540378863"/>
  </r>
  <r>
    <x v="56"/>
    <d v="2026-09-28T00:00:00"/>
    <x v="4"/>
    <s v="Shredder 1"/>
    <n v="1312"/>
    <n v="6.93"/>
    <n v="1207"/>
    <n v="0.91996951219512191"/>
    <n v="174.17027417027418"/>
  </r>
  <r>
    <x v="57"/>
    <d v="2026-08-26T00:00:00"/>
    <x v="1"/>
    <s v="Shredder 1"/>
    <n v="796"/>
    <n v="4.1900000000000004"/>
    <n v="724"/>
    <n v="0.90954773869346739"/>
    <n v="172.79236276849642"/>
  </r>
  <r>
    <x v="58"/>
    <d v="2026-04-10T00:00:00"/>
    <x v="4"/>
    <s v="Sorter 1"/>
    <n v="1124"/>
    <n v="6.7"/>
    <n v="978"/>
    <n v="0.87010676156583633"/>
    <n v="145.97014925373134"/>
  </r>
  <r>
    <x v="59"/>
    <d v="2026-03-17T00:00:00"/>
    <x v="4"/>
    <s v="Sorter 1"/>
    <n v="550"/>
    <n v="3.26"/>
    <n v="484"/>
    <n v="0.88"/>
    <n v="148.46625766871168"/>
  </r>
  <r>
    <x v="60"/>
    <d v="2026-10-15T00:00:00"/>
    <x v="3"/>
    <s v="Pelletizer 1"/>
    <n v="741"/>
    <n v="4.4800000000000004"/>
    <n v="652"/>
    <n v="0.87989203778677461"/>
    <n v="145.53571428571428"/>
  </r>
  <r>
    <x v="61"/>
    <d v="2026-07-11T00:00:00"/>
    <x v="0"/>
    <s v="Shredder 1"/>
    <n v="821"/>
    <n v="6.21"/>
    <n v="599"/>
    <n v="0.7295980511571255"/>
    <n v="96.457326892109506"/>
  </r>
  <r>
    <x v="62"/>
    <d v="2026-06-07T00:00:00"/>
    <x v="3"/>
    <s v="Pelletizer 1"/>
    <n v="631"/>
    <n v="3.31"/>
    <n v="581"/>
    <n v="0.92076069730586374"/>
    <n v="175.5287009063444"/>
  </r>
  <r>
    <x v="63"/>
    <d v="2026-12-05T00:00:00"/>
    <x v="0"/>
    <s v="Washer 1"/>
    <n v="926"/>
    <n v="6.64"/>
    <n v="667"/>
    <n v="0.72030237580993517"/>
    <n v="100.45180722891567"/>
  </r>
  <r>
    <x v="64"/>
    <d v="2026-06-25T00:00:00"/>
    <x v="2"/>
    <s v="Washer 1"/>
    <n v="990"/>
    <n v="5.96"/>
    <n v="871"/>
    <n v="0.8797979797979798"/>
    <n v="146.14093959731542"/>
  </r>
  <r>
    <x v="65"/>
    <d v="2026-08-18T00:00:00"/>
    <x v="2"/>
    <s v="Washer 1"/>
    <n v="1115"/>
    <n v="7"/>
    <n v="992"/>
    <n v="0.88968609865470849"/>
    <n v="141.71428571428572"/>
  </r>
  <r>
    <x v="66"/>
    <d v="2026-04-30T00:00:00"/>
    <x v="4"/>
    <s v="Sorter 1"/>
    <n v="894"/>
    <n v="4.9800000000000004"/>
    <n v="814"/>
    <n v="0.91051454138702459"/>
    <n v="163.45381526104416"/>
  </r>
  <r>
    <x v="67"/>
    <d v="2026-10-18T00:00:00"/>
    <x v="4"/>
    <s v="Pelletizer 1"/>
    <n v="1334"/>
    <n v="7.22"/>
    <n v="1201"/>
    <n v="0.90029985007496249"/>
    <n v="166.34349030470915"/>
  </r>
  <r>
    <x v="68"/>
    <d v="2026-11-05T00:00:00"/>
    <x v="4"/>
    <s v="Sorter 1"/>
    <n v="602"/>
    <n v="3.41"/>
    <n v="536"/>
    <n v="0.89036544850498334"/>
    <n v="157.18475073313783"/>
  </r>
  <r>
    <x v="69"/>
    <d v="2026-06-13T00:00:00"/>
    <x v="0"/>
    <s v="Sorter 1"/>
    <n v="1197"/>
    <n v="8.82"/>
    <n v="994"/>
    <n v="0.83040935672514615"/>
    <n v="112.6984126984127"/>
  </r>
  <r>
    <x v="70"/>
    <d v="2026-05-02T00:00:00"/>
    <x v="0"/>
    <s v="Washer 1"/>
    <n v="795"/>
    <n v="5.99"/>
    <n v="604"/>
    <n v="0.75974842767295603"/>
    <n v="100.8347245409015"/>
  </r>
  <r>
    <x v="71"/>
    <d v="2026-09-15T00:00:00"/>
    <x v="3"/>
    <s v="Washer 1"/>
    <n v="1228"/>
    <n v="6.38"/>
    <n v="1130"/>
    <n v="0.92019543973941365"/>
    <n v="177.11598746081506"/>
  </r>
  <r>
    <x v="72"/>
    <d v="2026-03-25T00:00:00"/>
    <x v="2"/>
    <s v="Shredder 2"/>
    <n v="737"/>
    <n v="5.0999999999999996"/>
    <n v="619"/>
    <n v="0.83989145183175029"/>
    <n v="121.37254901960785"/>
  </r>
  <r>
    <x v="73"/>
    <d v="2026-10-28T00:00:00"/>
    <x v="3"/>
    <s v="Pelletizer 1"/>
    <n v="577"/>
    <n v="3.52"/>
    <n v="514"/>
    <n v="0.89081455805892551"/>
    <n v="146.02272727272728"/>
  </r>
  <r>
    <x v="74"/>
    <d v="2026-06-20T00:00:00"/>
    <x v="1"/>
    <s v="Shredder 1"/>
    <n v="1398"/>
    <n v="6.62"/>
    <n v="1286"/>
    <n v="0.91988555078683831"/>
    <n v="194.25981873111783"/>
  </r>
  <r>
    <x v="75"/>
    <d v="2026-02-09T00:00:00"/>
    <x v="0"/>
    <s v="Sorter 1"/>
    <n v="515"/>
    <n v="3.74"/>
    <n v="412"/>
    <n v="0.8"/>
    <n v="110.16042780748663"/>
  </r>
  <r>
    <x v="76"/>
    <d v="2026-05-19T00:00:00"/>
    <x v="4"/>
    <s v="Shredder 2"/>
    <n v="1131"/>
    <n v="6.75"/>
    <n v="995"/>
    <n v="0.87975243147656945"/>
    <n v="147.40740740740742"/>
  </r>
  <r>
    <x v="77"/>
    <d v="2026-08-09T00:00:00"/>
    <x v="1"/>
    <s v="Washer 1"/>
    <n v="886"/>
    <n v="4.5"/>
    <n v="806"/>
    <n v="0.90970654627539504"/>
    <n v="179.11111111111111"/>
  </r>
  <r>
    <x v="78"/>
    <d v="2026-06-30T00:00:00"/>
    <x v="2"/>
    <s v="Shredder 1"/>
    <n v="1424"/>
    <n v="8.9499999999999993"/>
    <n v="1267"/>
    <n v="0.889747191011236"/>
    <n v="141.56424581005587"/>
  </r>
  <r>
    <x v="79"/>
    <d v="2026-01-07T00:00:00"/>
    <x v="2"/>
    <s v="Pelletizer 1"/>
    <n v="1041"/>
    <n v="6.64"/>
    <n v="874"/>
    <n v="0.83957732949087416"/>
    <n v="131.62650602409639"/>
  </r>
  <r>
    <x v="80"/>
    <d v="2026-12-19T00:00:00"/>
    <x v="2"/>
    <s v="Shredder 1"/>
    <n v="540"/>
    <n v="3.61"/>
    <n v="486"/>
    <n v="0.9"/>
    <n v="134.62603878116343"/>
  </r>
  <r>
    <x v="81"/>
    <d v="2026-09-07T00:00:00"/>
    <x v="2"/>
    <s v="Shredder 2"/>
    <n v="603"/>
    <n v="4"/>
    <n v="519"/>
    <n v="0.86069651741293529"/>
    <n v="129.75"/>
  </r>
  <r>
    <x v="82"/>
    <d v="2026-03-01T00:00:00"/>
    <x v="2"/>
    <s v="Washer 1"/>
    <n v="575"/>
    <n v="3.4"/>
    <n v="506"/>
    <n v="0.88"/>
    <n v="148.8235294117647"/>
  </r>
  <r>
    <x v="83"/>
    <d v="2026-11-18T00:00:00"/>
    <x v="1"/>
    <s v="Shredder 2"/>
    <n v="549"/>
    <n v="2.73"/>
    <n v="527"/>
    <n v="0.95992714025500914"/>
    <n v="193.04029304029305"/>
  </r>
  <r>
    <x v="84"/>
    <d v="2026-06-26T00:00:00"/>
    <x v="0"/>
    <s v="Pelletizer 1"/>
    <n v="808"/>
    <n v="6.57"/>
    <n v="695"/>
    <n v="0.86014851485148514"/>
    <n v="105.78386605783865"/>
  </r>
  <r>
    <x v="85"/>
    <d v="2026-10-04T00:00:00"/>
    <x v="2"/>
    <s v="Washer 1"/>
    <n v="1228"/>
    <n v="7.81"/>
    <n v="1081"/>
    <n v="0.88029315960912047"/>
    <n v="138.41229193341871"/>
  </r>
  <r>
    <x v="86"/>
    <d v="2026-07-25T00:00:00"/>
    <x v="2"/>
    <s v="Pelletizer 1"/>
    <n v="825"/>
    <n v="4.9400000000000004"/>
    <n v="701"/>
    <n v="0.84969696969696973"/>
    <n v="141.90283400809716"/>
  </r>
  <r>
    <x v="87"/>
    <d v="2026-05-18T00:00:00"/>
    <x v="3"/>
    <s v="Pelletizer 1"/>
    <n v="745"/>
    <n v="4.34"/>
    <n v="693"/>
    <n v="0.93020134228187923"/>
    <n v="159.67741935483872"/>
  </r>
  <r>
    <x v="88"/>
    <d v="2026-12-19T00:00:00"/>
    <x v="3"/>
    <s v="Sorter 1"/>
    <n v="1364"/>
    <n v="7.07"/>
    <n v="1296"/>
    <n v="0.95014662756598245"/>
    <n v="183.30975954738329"/>
  </r>
  <r>
    <x v="89"/>
    <d v="2026-05-02T00:00:00"/>
    <x v="0"/>
    <s v="Pelletizer 1"/>
    <n v="743"/>
    <n v="5.56"/>
    <n v="535"/>
    <n v="0.72005383580080751"/>
    <n v="96.223021582733821"/>
  </r>
  <r>
    <x v="90"/>
    <d v="2026-03-08T00:00:00"/>
    <x v="3"/>
    <s v="Pelletizer 1"/>
    <n v="755"/>
    <n v="4.13"/>
    <n v="702"/>
    <n v="0.92980132450331121"/>
    <n v="169.97578692493948"/>
  </r>
  <r>
    <x v="91"/>
    <d v="2026-07-02T00:00:00"/>
    <x v="1"/>
    <s v="Shredder 1"/>
    <n v="539"/>
    <n v="3.17"/>
    <n v="490"/>
    <n v="0.90909090909090906"/>
    <n v="154.57413249211356"/>
  </r>
  <r>
    <x v="92"/>
    <d v="2026-04-08T00:00:00"/>
    <x v="2"/>
    <s v="Shredder 1"/>
    <n v="976"/>
    <n v="6.14"/>
    <n v="839"/>
    <n v="0.85963114754098358"/>
    <n v="136.64495114006516"/>
  </r>
  <r>
    <x v="93"/>
    <d v="2026-09-13T00:00:00"/>
    <x v="4"/>
    <s v="Shredder 2"/>
    <n v="1488"/>
    <n v="8.1"/>
    <n v="1339"/>
    <n v="0.8998655913978495"/>
    <n v="165.30864197530866"/>
  </r>
  <r>
    <x v="94"/>
    <d v="2026-03-04T00:00:00"/>
    <x v="3"/>
    <s v="Shredder 2"/>
    <n v="1047"/>
    <n v="5.9"/>
    <n v="942"/>
    <n v="0.89971346704871058"/>
    <n v="159.66101694915253"/>
  </r>
  <r>
    <x v="95"/>
    <d v="2026-05-08T00:00:00"/>
    <x v="4"/>
    <s v="Shredder 2"/>
    <n v="880"/>
    <n v="5.17"/>
    <n v="801"/>
    <n v="0.91022727272727277"/>
    <n v="154.93230174081239"/>
  </r>
  <r>
    <x v="96"/>
    <d v="2026-03-16T00:00:00"/>
    <x v="3"/>
    <s v="Shredder 1"/>
    <n v="648"/>
    <n v="3.7"/>
    <n v="590"/>
    <n v="0.91049382716049387"/>
    <n v="159.45945945945945"/>
  </r>
  <r>
    <x v="97"/>
    <d v="2026-11-07T00:00:00"/>
    <x v="3"/>
    <s v="Shredder 1"/>
    <n v="827"/>
    <n v="4.92"/>
    <n v="786"/>
    <n v="0.95042321644498184"/>
    <n v="159.7560975609756"/>
  </r>
  <r>
    <x v="98"/>
    <d v="2026-04-03T00:00:00"/>
    <x v="1"/>
    <s v="Shredder 2"/>
    <n v="1043"/>
    <n v="5.13"/>
    <n v="960"/>
    <n v="0.92042186001917548"/>
    <n v="187.13450292397661"/>
  </r>
  <r>
    <x v="99"/>
    <d v="2026-02-28T00:00:00"/>
    <x v="4"/>
    <s v="Shredder 2"/>
    <n v="1314"/>
    <n v="7.55"/>
    <n v="1196"/>
    <n v="0.91019786910197864"/>
    <n v="158.41059602649008"/>
  </r>
  <r>
    <x v="100"/>
    <d v="2026-05-11T00:00:00"/>
    <x v="0"/>
    <s v="Shredder 2"/>
    <n v="880"/>
    <n v="6.93"/>
    <n v="686"/>
    <n v="0.77954545454545454"/>
    <n v="98.98989898989899"/>
  </r>
  <r>
    <x v="101"/>
    <d v="2026-08-23T00:00:00"/>
    <x v="1"/>
    <s v="Shredder 1"/>
    <n v="1240"/>
    <n v="6.09"/>
    <n v="1166"/>
    <n v="0.94032258064516128"/>
    <n v="191.46141215106732"/>
  </r>
  <r>
    <x v="102"/>
    <d v="2026-09-11T00:00:00"/>
    <x v="4"/>
    <s v="Pelletizer 1"/>
    <n v="633"/>
    <n v="3.78"/>
    <n v="570"/>
    <n v="0.90047393364928907"/>
    <n v="150.79365079365081"/>
  </r>
  <r>
    <x v="103"/>
    <d v="2026-11-21T00:00:00"/>
    <x v="3"/>
    <s v="Shredder 1"/>
    <n v="1177"/>
    <n v="6.26"/>
    <n v="1095"/>
    <n v="0.93033135089209851"/>
    <n v="174.92012779552715"/>
  </r>
  <r>
    <x v="104"/>
    <d v="2026-05-19T00:00:00"/>
    <x v="3"/>
    <s v="Washer 1"/>
    <n v="981"/>
    <n v="5.15"/>
    <n v="863"/>
    <n v="0.87971457696228339"/>
    <n v="167.57281553398056"/>
  </r>
  <r>
    <x v="105"/>
    <d v="2026-03-08T00:00:00"/>
    <x v="2"/>
    <s v="Shredder 1"/>
    <n v="684"/>
    <n v="4.6500000000000004"/>
    <n v="622"/>
    <n v="0.90935672514619881"/>
    <n v="133.76344086021504"/>
  </r>
  <r>
    <x v="106"/>
    <d v="2026-12-26T00:00:00"/>
    <x v="3"/>
    <s v="Pelletizer 1"/>
    <n v="1255"/>
    <n v="6.39"/>
    <n v="1192"/>
    <n v="0.94980079681274898"/>
    <n v="186.5414710485133"/>
  </r>
  <r>
    <x v="107"/>
    <d v="2026-03-20T00:00:00"/>
    <x v="2"/>
    <s v="Sorter 1"/>
    <n v="550"/>
    <n v="3.84"/>
    <n v="506"/>
    <n v="0.92"/>
    <n v="131.77083333333334"/>
  </r>
  <r>
    <x v="108"/>
    <d v="2026-11-13T00:00:00"/>
    <x v="3"/>
    <s v="Shredder 2"/>
    <n v="638"/>
    <n v="3.96"/>
    <n v="561"/>
    <n v="0.87931034482758619"/>
    <n v="141.66666666666666"/>
  </r>
  <r>
    <x v="109"/>
    <d v="2026-05-31T00:00:00"/>
    <x v="1"/>
    <s v="Pelletizer 1"/>
    <n v="947"/>
    <n v="5.09"/>
    <n v="890"/>
    <n v="0.93980992608236535"/>
    <n v="174.85265225933202"/>
  </r>
  <r>
    <x v="110"/>
    <d v="2026-07-31T00:00:00"/>
    <x v="4"/>
    <s v="Washer 1"/>
    <n v="927"/>
    <n v="5.42"/>
    <n v="806"/>
    <n v="0.86947141316073351"/>
    <n v="148.70848708487085"/>
  </r>
  <r>
    <x v="111"/>
    <d v="2026-08-23T00:00:00"/>
    <x v="2"/>
    <s v="Pelletizer 1"/>
    <n v="1470"/>
    <n v="9.43"/>
    <n v="1250"/>
    <n v="0.85034013605442171"/>
    <n v="132.5556733828208"/>
  </r>
  <r>
    <x v="112"/>
    <d v="2026-08-02T00:00:00"/>
    <x v="4"/>
    <s v="Pelletizer 1"/>
    <n v="987"/>
    <n v="5.82"/>
    <n v="928"/>
    <n v="0.94022289766970613"/>
    <n v="159.45017182130584"/>
  </r>
  <r>
    <x v="113"/>
    <d v="2026-02-26T00:00:00"/>
    <x v="1"/>
    <s v="Pelletizer 1"/>
    <n v="1112"/>
    <n v="5.79"/>
    <n v="1012"/>
    <n v="0.91007194244604317"/>
    <n v="174.78411053540586"/>
  </r>
  <r>
    <x v="114"/>
    <d v="2026-11-20T00:00:00"/>
    <x v="2"/>
    <s v="Shredder 2"/>
    <n v="1205"/>
    <n v="7.36"/>
    <n v="1072"/>
    <n v="0.88962655601659746"/>
    <n v="145.65217391304347"/>
  </r>
  <r>
    <x v="115"/>
    <d v="2026-09-25T00:00:00"/>
    <x v="0"/>
    <s v="Washer 1"/>
    <n v="659"/>
    <n v="5.29"/>
    <n v="514"/>
    <n v="0.77996965098634297"/>
    <n v="97.16446124763705"/>
  </r>
  <r>
    <x v="116"/>
    <d v="2026-04-18T00:00:00"/>
    <x v="4"/>
    <s v="Pelletizer 1"/>
    <n v="532"/>
    <n v="3.29"/>
    <n v="489"/>
    <n v="0.91917293233082709"/>
    <n v="148.63221884498481"/>
  </r>
  <r>
    <x v="117"/>
    <d v="2026-02-26T00:00:00"/>
    <x v="2"/>
    <s v="Washer 1"/>
    <n v="1125"/>
    <n v="7.36"/>
    <n v="945"/>
    <n v="0.84"/>
    <n v="128.39673913043478"/>
  </r>
  <r>
    <x v="118"/>
    <d v="2026-08-26T00:00:00"/>
    <x v="3"/>
    <s v="Shredder 2"/>
    <n v="513"/>
    <n v="2.92"/>
    <n v="482"/>
    <n v="0.93957115009746583"/>
    <n v="165.06849315068493"/>
  </r>
  <r>
    <x v="119"/>
    <d v="2026-05-23T00:00:00"/>
    <x v="3"/>
    <s v="Pelletizer 1"/>
    <n v="872"/>
    <n v="5.07"/>
    <n v="811"/>
    <n v="0.93004587155963303"/>
    <n v="159.96055226824456"/>
  </r>
  <r>
    <x v="120"/>
    <d v="2026-01-19T00:00:00"/>
    <x v="0"/>
    <s v="Sorter 1"/>
    <n v="934"/>
    <n v="7.44"/>
    <n v="775"/>
    <n v="0.82976445396145615"/>
    <n v="104.16666666666666"/>
  </r>
  <r>
    <x v="121"/>
    <d v="2026-07-10T00:00:00"/>
    <x v="1"/>
    <s v="Shredder 2"/>
    <n v="1139"/>
    <n v="5.29"/>
    <n v="1048"/>
    <n v="0.9201053555750659"/>
    <n v="198.10964083175804"/>
  </r>
  <r>
    <x v="122"/>
    <d v="2026-01-04T00:00:00"/>
    <x v="1"/>
    <s v="Shredder 1"/>
    <n v="1121"/>
    <n v="5.73"/>
    <n v="1043"/>
    <n v="0.93041926851025869"/>
    <n v="182.02443280977312"/>
  </r>
  <r>
    <x v="123"/>
    <d v="2026-12-14T00:00:00"/>
    <x v="1"/>
    <s v="Sorter 1"/>
    <n v="1140"/>
    <n v="5.84"/>
    <n v="1049"/>
    <n v="0.9201754385964912"/>
    <n v="179.62328767123287"/>
  </r>
  <r>
    <x v="124"/>
    <d v="2026-01-12T00:00:00"/>
    <x v="2"/>
    <s v="Shredder 2"/>
    <n v="737"/>
    <n v="4.38"/>
    <n v="641"/>
    <n v="0.86974219810040709"/>
    <n v="146.34703196347033"/>
  </r>
  <r>
    <x v="125"/>
    <d v="2026-03-20T00:00:00"/>
    <x v="2"/>
    <s v="Pelletizer 1"/>
    <n v="982"/>
    <n v="6.57"/>
    <n v="835"/>
    <n v="0.85030549898167007"/>
    <n v="127.09284627092846"/>
  </r>
  <r>
    <x v="126"/>
    <d v="2026-08-15T00:00:00"/>
    <x v="2"/>
    <s v="Pelletizer 1"/>
    <n v="727"/>
    <n v="5.04"/>
    <n v="632"/>
    <n v="0.86932599724896842"/>
    <n v="125.39682539682539"/>
  </r>
  <r>
    <x v="127"/>
    <d v="2026-04-21T00:00:00"/>
    <x v="1"/>
    <s v="Pelletizer 1"/>
    <n v="1371"/>
    <n v="7"/>
    <n v="1234"/>
    <n v="0.90007293946024802"/>
    <n v="176.28571428571428"/>
  </r>
  <r>
    <x v="128"/>
    <d v="2026-09-19T00:00:00"/>
    <x v="3"/>
    <s v="Shredder 1"/>
    <n v="644"/>
    <n v="3.44"/>
    <n v="573"/>
    <n v="0.88975155279503104"/>
    <n v="166.56976744186048"/>
  </r>
  <r>
    <x v="129"/>
    <d v="2026-09-07T00:00:00"/>
    <x v="0"/>
    <s v="Pelletizer 1"/>
    <n v="1200"/>
    <n v="9.11"/>
    <n v="1032"/>
    <n v="0.86"/>
    <n v="113.28210757409441"/>
  </r>
  <r>
    <x v="130"/>
    <d v="2026-06-08T00:00:00"/>
    <x v="3"/>
    <s v="Pelletizer 1"/>
    <n v="674"/>
    <n v="3.43"/>
    <n v="600"/>
    <n v="0.89020771513353114"/>
    <n v="174.9271137026239"/>
  </r>
  <r>
    <x v="131"/>
    <d v="2026-05-10T00:00:00"/>
    <x v="4"/>
    <s v="Shredder 1"/>
    <n v="1194"/>
    <n v="6.54"/>
    <n v="1039"/>
    <n v="0.87018425460636517"/>
    <n v="158.868501529052"/>
  </r>
  <r>
    <x v="132"/>
    <d v="2026-02-13T00:00:00"/>
    <x v="1"/>
    <s v="Sorter 1"/>
    <n v="864"/>
    <n v="4.5999999999999996"/>
    <n v="795"/>
    <n v="0.92013888888888884"/>
    <n v="172.82608695652175"/>
  </r>
  <r>
    <x v="133"/>
    <d v="2026-04-18T00:00:00"/>
    <x v="1"/>
    <s v="Shredder 1"/>
    <n v="1011"/>
    <n v="5.21"/>
    <n v="981"/>
    <n v="0.97032640949554894"/>
    <n v="188.29174664107487"/>
  </r>
  <r>
    <x v="134"/>
    <d v="2026-02-18T00:00:00"/>
    <x v="0"/>
    <s v="Washer 1"/>
    <n v="642"/>
    <n v="5.16"/>
    <n v="494"/>
    <n v="0.76947040498442365"/>
    <n v="95.736434108527135"/>
  </r>
  <r>
    <x v="135"/>
    <d v="2026-05-29T00:00:00"/>
    <x v="1"/>
    <s v="Shredder 1"/>
    <n v="1042"/>
    <n v="5.41"/>
    <n v="1011"/>
    <n v="0.97024952015355082"/>
    <n v="186.87615526802219"/>
  </r>
  <r>
    <x v="136"/>
    <d v="2026-07-21T00:00:00"/>
    <x v="4"/>
    <s v="Washer 1"/>
    <n v="925"/>
    <n v="4.92"/>
    <n v="805"/>
    <n v="0.87027027027027026"/>
    <n v="163.6178861788618"/>
  </r>
  <r>
    <x v="137"/>
    <d v="2026-07-20T00:00:00"/>
    <x v="0"/>
    <s v="Sorter 1"/>
    <n v="1006"/>
    <n v="7.83"/>
    <n v="795"/>
    <n v="0.79025844930417499"/>
    <n v="101.53256704980843"/>
  </r>
  <r>
    <x v="138"/>
    <d v="2026-04-06T00:00:00"/>
    <x v="4"/>
    <s v="Washer 1"/>
    <n v="767"/>
    <n v="4.51"/>
    <n v="721"/>
    <n v="0.94002607561929596"/>
    <n v="159.8669623059867"/>
  </r>
  <r>
    <x v="139"/>
    <d v="2026-12-06T00:00:00"/>
    <x v="0"/>
    <s v="Washer 1"/>
    <n v="1415"/>
    <n v="10.3"/>
    <n v="1118"/>
    <n v="0.79010600706713785"/>
    <n v="108.54368932038834"/>
  </r>
  <r>
    <x v="140"/>
    <d v="2026-12-26T00:00:00"/>
    <x v="3"/>
    <s v="Washer 1"/>
    <n v="873"/>
    <n v="5.05"/>
    <n v="821"/>
    <n v="0.9404352806414662"/>
    <n v="162.57425742574259"/>
  </r>
  <r>
    <x v="141"/>
    <d v="2026-03-07T00:00:00"/>
    <x v="0"/>
    <s v="Pelletizer 1"/>
    <n v="1141"/>
    <n v="8.56"/>
    <n v="924"/>
    <n v="0.80981595092024539"/>
    <n v="107.94392523364485"/>
  </r>
  <r>
    <x v="142"/>
    <d v="2026-01-26T00:00:00"/>
    <x v="2"/>
    <s v="Shredder 2"/>
    <n v="846"/>
    <n v="5.09"/>
    <n v="728"/>
    <n v="0.86052009456264777"/>
    <n v="143.02554027504911"/>
  </r>
  <r>
    <x v="143"/>
    <d v="2026-01-01T00:00:00"/>
    <x v="3"/>
    <s v="Shredder 2"/>
    <n v="508"/>
    <n v="2.95"/>
    <n v="467"/>
    <n v="0.9192913385826772"/>
    <n v="158.30508474576271"/>
  </r>
  <r>
    <x v="144"/>
    <d v="2026-11-19T00:00:00"/>
    <x v="4"/>
    <s v="Pelletizer 1"/>
    <n v="1018"/>
    <n v="5.5"/>
    <n v="926"/>
    <n v="0.90962671905697445"/>
    <n v="168.36363636363637"/>
  </r>
  <r>
    <x v="145"/>
    <d v="2026-02-28T00:00:00"/>
    <x v="4"/>
    <s v="Shredder 2"/>
    <n v="602"/>
    <n v="3.23"/>
    <n v="536"/>
    <n v="0.89036544850498334"/>
    <n v="165.94427244582045"/>
  </r>
  <r>
    <x v="146"/>
    <d v="2026-02-02T00:00:00"/>
    <x v="1"/>
    <s v="Washer 1"/>
    <n v="761"/>
    <n v="3.97"/>
    <n v="738"/>
    <n v="0.96977660972404733"/>
    <n v="185.89420654911837"/>
  </r>
  <r>
    <x v="147"/>
    <d v="2026-11-15T00:00:00"/>
    <x v="2"/>
    <s v="Pelletizer 1"/>
    <n v="1332"/>
    <n v="8.5299999999999994"/>
    <n v="1172"/>
    <n v="0.87987987987987992"/>
    <n v="137.39742086752639"/>
  </r>
  <r>
    <x v="148"/>
    <d v="2026-09-18T00:00:00"/>
    <x v="3"/>
    <s v="Sorter 1"/>
    <n v="1495"/>
    <n v="8.14"/>
    <n v="1360"/>
    <n v="0.90969899665551834"/>
    <n v="167.07616707616705"/>
  </r>
  <r>
    <x v="149"/>
    <d v="2026-01-24T00:00:00"/>
    <x v="2"/>
    <s v="Pelletizer 1"/>
    <n v="882"/>
    <n v="5.9"/>
    <n v="811"/>
    <n v="0.91950113378684806"/>
    <n v="137.45762711864407"/>
  </r>
  <r>
    <x v="150"/>
    <d v="2026-08-31T00:00:00"/>
    <x v="0"/>
    <s v="Shredder 1"/>
    <n v="564"/>
    <n v="4.12"/>
    <n v="434"/>
    <n v="0.76950354609929073"/>
    <n v="105.33980582524272"/>
  </r>
  <r>
    <x v="151"/>
    <d v="2026-10-05T00:00:00"/>
    <x v="0"/>
    <s v="Washer 1"/>
    <n v="1279"/>
    <n v="9.2799999999999994"/>
    <n v="1023"/>
    <n v="0.79984362783424545"/>
    <n v="110.23706896551725"/>
  </r>
  <r>
    <x v="152"/>
    <d v="2026-05-23T00:00:00"/>
    <x v="1"/>
    <s v="Shredder 2"/>
    <n v="829"/>
    <n v="4.13"/>
    <n v="771"/>
    <n v="0.9300361881785284"/>
    <n v="186.68280871670703"/>
  </r>
  <r>
    <x v="153"/>
    <d v="2026-08-18T00:00:00"/>
    <x v="2"/>
    <s v="Shredder 2"/>
    <n v="560"/>
    <n v="3.57"/>
    <n v="515"/>
    <n v="0.9196428571428571"/>
    <n v="144.25770308123251"/>
  </r>
  <r>
    <x v="154"/>
    <d v="2026-09-11T00:00:00"/>
    <x v="4"/>
    <s v="Sorter 1"/>
    <n v="1343"/>
    <n v="7.62"/>
    <n v="1209"/>
    <n v="0.90022338049143713"/>
    <n v="158.66141732283464"/>
  </r>
  <r>
    <x v="155"/>
    <d v="2026-01-22T00:00:00"/>
    <x v="2"/>
    <s v="Shredder 1"/>
    <n v="680"/>
    <n v="4.5599999999999996"/>
    <n v="605"/>
    <n v="0.88970588235294112"/>
    <n v="132.67543859649123"/>
  </r>
  <r>
    <x v="156"/>
    <d v="2026-01-01T00:00:00"/>
    <x v="3"/>
    <s v="Shredder 1"/>
    <n v="1474"/>
    <n v="7.63"/>
    <n v="1400"/>
    <n v="0.94979647218453189"/>
    <n v="183.48623853211009"/>
  </r>
  <r>
    <x v="157"/>
    <d v="2026-06-06T00:00:00"/>
    <x v="0"/>
    <s v="Pelletizer 1"/>
    <n v="1175"/>
    <n v="9.07"/>
    <n v="870"/>
    <n v="0.74042553191489358"/>
    <n v="95.920617420066151"/>
  </r>
  <r>
    <x v="158"/>
    <d v="2026-10-02T00:00:00"/>
    <x v="3"/>
    <s v="Pelletizer 1"/>
    <n v="987"/>
    <n v="4.96"/>
    <n v="918"/>
    <n v="0.93009118541033431"/>
    <n v="185.08064516129033"/>
  </r>
  <r>
    <x v="159"/>
    <d v="2026-06-18T00:00:00"/>
    <x v="0"/>
    <s v="Washer 1"/>
    <n v="918"/>
    <n v="6.99"/>
    <n v="753"/>
    <n v="0.8202614379084967"/>
    <n v="107.72532188841201"/>
  </r>
  <r>
    <x v="160"/>
    <d v="2026-11-16T00:00:00"/>
    <x v="1"/>
    <s v="Shredder 1"/>
    <n v="999"/>
    <n v="4.9400000000000004"/>
    <n v="959"/>
    <n v="0.95995995995995997"/>
    <n v="194.12955465587044"/>
  </r>
  <r>
    <x v="161"/>
    <d v="2026-10-13T00:00:00"/>
    <x v="2"/>
    <s v="Shredder 1"/>
    <n v="791"/>
    <n v="4.99"/>
    <n v="680"/>
    <n v="0.85967130214917831"/>
    <n v="136.27254509018036"/>
  </r>
  <r>
    <x v="162"/>
    <d v="2026-05-15T00:00:00"/>
    <x v="4"/>
    <s v="Sorter 1"/>
    <n v="783"/>
    <n v="4.88"/>
    <n v="713"/>
    <n v="0.91060025542784162"/>
    <n v="146.10655737704917"/>
  </r>
  <r>
    <x v="163"/>
    <d v="2026-12-13T00:00:00"/>
    <x v="3"/>
    <s v="Pelletizer 1"/>
    <n v="1204"/>
    <n v="6.3"/>
    <n v="1084"/>
    <n v="0.90033222591362128"/>
    <n v="172.06349206349208"/>
  </r>
  <r>
    <x v="164"/>
    <d v="2026-02-15T00:00:00"/>
    <x v="4"/>
    <s v="Shredder 2"/>
    <n v="1023"/>
    <n v="5.4"/>
    <n v="910"/>
    <n v="0.88954056695992179"/>
    <n v="168.5185185185185"/>
  </r>
  <r>
    <x v="165"/>
    <d v="2026-03-21T00:00:00"/>
    <x v="0"/>
    <s v="Shredder 1"/>
    <n v="1321"/>
    <n v="10.029999999999999"/>
    <n v="1030"/>
    <n v="0.77971233913701743"/>
    <n v="102.69192422731805"/>
  </r>
  <r>
    <x v="166"/>
    <d v="2026-08-23T00:00:00"/>
    <x v="4"/>
    <s v="Sorter 1"/>
    <n v="1472"/>
    <n v="8.16"/>
    <n v="1325"/>
    <n v="0.90013586956521741"/>
    <n v="162.37745098039215"/>
  </r>
  <r>
    <x v="167"/>
    <d v="2026-01-07T00:00:00"/>
    <x v="4"/>
    <s v="Shredder 2"/>
    <n v="1379"/>
    <n v="7.89"/>
    <n v="1214"/>
    <n v="0.88034807831762152"/>
    <n v="153.86565272496833"/>
  </r>
  <r>
    <x v="168"/>
    <d v="2026-12-18T00:00:00"/>
    <x v="3"/>
    <s v="Pelletizer 1"/>
    <n v="570"/>
    <n v="3.48"/>
    <n v="519"/>
    <n v="0.91052631578947374"/>
    <n v="149.13793103448276"/>
  </r>
  <r>
    <x v="169"/>
    <d v="2026-08-11T00:00:00"/>
    <x v="0"/>
    <s v="Shredder 1"/>
    <n v="738"/>
    <n v="6.03"/>
    <n v="539"/>
    <n v="0.73035230352303526"/>
    <n v="89.386401326699826"/>
  </r>
  <r>
    <x v="170"/>
    <d v="2026-06-25T00:00:00"/>
    <x v="3"/>
    <s v="Washer 1"/>
    <n v="717"/>
    <n v="4.17"/>
    <n v="652"/>
    <n v="0.90934449093444913"/>
    <n v="156.35491606714629"/>
  </r>
  <r>
    <x v="171"/>
    <d v="2026-01-17T00:00:00"/>
    <x v="2"/>
    <s v="Sorter 1"/>
    <n v="575"/>
    <n v="4.01"/>
    <n v="518"/>
    <n v="0.90086956521739125"/>
    <n v="129.17705735660849"/>
  </r>
  <r>
    <x v="172"/>
    <d v="2026-12-07T00:00:00"/>
    <x v="1"/>
    <s v="Shredder 1"/>
    <n v="1369"/>
    <n v="6.98"/>
    <n v="1232"/>
    <n v="0.89992695398100808"/>
    <n v="176.50429799426934"/>
  </r>
  <r>
    <x v="173"/>
    <d v="2026-07-04T00:00:00"/>
    <x v="0"/>
    <s v="Washer 1"/>
    <n v="1018"/>
    <n v="7.65"/>
    <n v="753"/>
    <n v="0.73968565815324161"/>
    <n v="98.431372549019599"/>
  </r>
  <r>
    <x v="174"/>
    <d v="2026-04-27T00:00:00"/>
    <x v="0"/>
    <s v="Shredder 2"/>
    <n v="591"/>
    <n v="4.26"/>
    <n v="485"/>
    <n v="0.82064297800338415"/>
    <n v="113.84976525821597"/>
  </r>
  <r>
    <x v="175"/>
    <d v="2026-10-13T00:00:00"/>
    <x v="3"/>
    <s v="Sorter 1"/>
    <n v="1148"/>
    <n v="5.76"/>
    <n v="1010"/>
    <n v="0.87979094076655051"/>
    <n v="175.34722222222223"/>
  </r>
  <r>
    <x v="176"/>
    <d v="2026-09-06T00:00:00"/>
    <x v="3"/>
    <s v="Pelletizer 1"/>
    <n v="1047"/>
    <n v="5.71"/>
    <n v="963"/>
    <n v="0.91977077363896853"/>
    <n v="168.65148861646236"/>
  </r>
  <r>
    <x v="177"/>
    <d v="2026-04-18T00:00:00"/>
    <x v="3"/>
    <s v="Sorter 1"/>
    <n v="1266"/>
    <n v="6.43"/>
    <n v="1127"/>
    <n v="0.89020537124802523"/>
    <n v="175.27216174183516"/>
  </r>
  <r>
    <x v="178"/>
    <d v="2026-08-26T00:00:00"/>
    <x v="4"/>
    <s v="Washer 1"/>
    <n v="1261"/>
    <n v="6.91"/>
    <n v="1185"/>
    <n v="0.93973037272006343"/>
    <n v="171.49059334298119"/>
  </r>
  <r>
    <x v="179"/>
    <d v="2026-08-28T00:00:00"/>
    <x v="0"/>
    <s v="Sorter 1"/>
    <n v="1060"/>
    <n v="7.79"/>
    <n v="816"/>
    <n v="0.76981132075471703"/>
    <n v="104.74967907573813"/>
  </r>
  <r>
    <x v="180"/>
    <d v="2026-11-16T00:00:00"/>
    <x v="3"/>
    <s v="Sorter 1"/>
    <n v="918"/>
    <n v="5.23"/>
    <n v="845"/>
    <n v="0.920479302832244"/>
    <n v="161.56787762906308"/>
  </r>
  <r>
    <x v="181"/>
    <d v="2026-05-14T00:00:00"/>
    <x v="2"/>
    <s v="Sorter 1"/>
    <n v="1186"/>
    <n v="7.03"/>
    <n v="996"/>
    <n v="0.8397976391231029"/>
    <n v="141.67852062588904"/>
  </r>
  <r>
    <x v="182"/>
    <d v="2026-11-10T00:00:00"/>
    <x v="1"/>
    <s v="Pelletizer 1"/>
    <n v="516"/>
    <n v="2.37"/>
    <n v="495"/>
    <n v="0.95930232558139539"/>
    <n v="208.86075949367088"/>
  </r>
  <r>
    <x v="183"/>
    <d v="2026-03-20T00:00:00"/>
    <x v="2"/>
    <s v="Pelletizer 1"/>
    <n v="575"/>
    <n v="4.12"/>
    <n v="500"/>
    <n v="0.86956521739130432"/>
    <n v="121.35922330097087"/>
  </r>
  <r>
    <x v="184"/>
    <d v="2026-01-07T00:00:00"/>
    <x v="2"/>
    <s v="Shredder 2"/>
    <n v="859"/>
    <n v="5.31"/>
    <n v="747"/>
    <n v="0.86961583236321305"/>
    <n v="140.67796610169492"/>
  </r>
  <r>
    <x v="185"/>
    <d v="2026-12-29T00:00:00"/>
    <x v="1"/>
    <s v="Shredder 1"/>
    <n v="772"/>
    <n v="3.68"/>
    <n v="741"/>
    <n v="0.9598445595854922"/>
    <n v="201.35869565217391"/>
  </r>
  <r>
    <x v="186"/>
    <d v="2026-12-15T00:00:00"/>
    <x v="0"/>
    <s v="Pelletizer 1"/>
    <n v="840"/>
    <n v="6.75"/>
    <n v="714"/>
    <n v="0.85"/>
    <n v="105.77777777777777"/>
  </r>
  <r>
    <x v="187"/>
    <d v="2026-01-25T00:00:00"/>
    <x v="4"/>
    <s v="Shredder 1"/>
    <n v="672"/>
    <n v="3.82"/>
    <n v="612"/>
    <n v="0.9107142857142857"/>
    <n v="160.20942408376965"/>
  </r>
  <r>
    <x v="188"/>
    <d v="2026-04-20T00:00:00"/>
    <x v="4"/>
    <s v="Shredder 1"/>
    <n v="643"/>
    <n v="4.05"/>
    <n v="592"/>
    <n v="0.92068429237947125"/>
    <n v="146.17283950617283"/>
  </r>
  <r>
    <x v="189"/>
    <d v="2026-06-13T00:00:00"/>
    <x v="3"/>
    <s v="Shredder 1"/>
    <n v="1048"/>
    <n v="5.67"/>
    <n v="943"/>
    <n v="0.89980916030534353"/>
    <n v="166.31393298059965"/>
  </r>
  <r>
    <x v="190"/>
    <d v="2026-08-18T00:00:00"/>
    <x v="1"/>
    <s v="Washer 1"/>
    <n v="1345"/>
    <n v="6.14"/>
    <n v="1224"/>
    <n v="0.91003717472118961"/>
    <n v="199.34853420195441"/>
  </r>
  <r>
    <x v="191"/>
    <d v="2026-04-01T00:00:00"/>
    <x v="0"/>
    <s v="Pelletizer 1"/>
    <n v="545"/>
    <n v="4.5999999999999996"/>
    <n v="425"/>
    <n v="0.77981651376146788"/>
    <n v="92.391304347826093"/>
  </r>
  <r>
    <x v="192"/>
    <d v="2026-10-09T00:00:00"/>
    <x v="1"/>
    <s v="Shredder 1"/>
    <n v="988"/>
    <n v="4.8600000000000003"/>
    <n v="948"/>
    <n v="0.95951417004048578"/>
    <n v="195.06172839506172"/>
  </r>
  <r>
    <x v="193"/>
    <d v="2026-12-02T00:00:00"/>
    <x v="0"/>
    <s v="Sorter 1"/>
    <n v="1240"/>
    <n v="9.36"/>
    <n v="918"/>
    <n v="0.74032258064516132"/>
    <n v="98.07692307692308"/>
  </r>
  <r>
    <x v="194"/>
    <d v="2026-11-25T00:00:00"/>
    <x v="3"/>
    <s v="Shredder 2"/>
    <n v="612"/>
    <n v="3.86"/>
    <n v="557"/>
    <n v="0.91013071895424835"/>
    <n v="144.30051813471502"/>
  </r>
  <r>
    <x v="195"/>
    <d v="2026-07-03T00:00:00"/>
    <x v="1"/>
    <s v="Pelletizer 1"/>
    <n v="766"/>
    <n v="3.66"/>
    <n v="705"/>
    <n v="0.92036553524804177"/>
    <n v="192.62295081967213"/>
  </r>
  <r>
    <x v="196"/>
    <d v="2026-06-28T00:00:00"/>
    <x v="2"/>
    <s v="Shredder 2"/>
    <n v="1043"/>
    <n v="6.89"/>
    <n v="907"/>
    <n v="0.86960690316395017"/>
    <n v="131.64005805515239"/>
  </r>
  <r>
    <x v="197"/>
    <d v="2026-01-12T00:00:00"/>
    <x v="0"/>
    <s v="Shredder 1"/>
    <n v="890"/>
    <n v="6.97"/>
    <n v="721"/>
    <n v="0.81011235955056182"/>
    <n v="103.44332855093258"/>
  </r>
  <r>
    <x v="198"/>
    <d v="2026-04-03T00:00:00"/>
    <x v="1"/>
    <s v="Shredder 1"/>
    <n v="726"/>
    <n v="3.58"/>
    <n v="697"/>
    <n v="0.96005509641873277"/>
    <n v="194.6927374301676"/>
  </r>
  <r>
    <x v="199"/>
    <d v="2026-09-30T00:00:00"/>
    <x v="3"/>
    <s v="Shredder 2"/>
    <n v="1417"/>
    <n v="7.51"/>
    <n v="1332"/>
    <n v="0.94001411432604098"/>
    <n v="177.363515312916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D001"/>
    <d v="2026-01-23T00:00:00"/>
    <x v="0"/>
    <x v="0"/>
    <n v="44"/>
  </r>
  <r>
    <s v="D002"/>
    <d v="2026-03-02T00:00:00"/>
    <x v="1"/>
    <x v="1"/>
    <n v="52"/>
  </r>
  <r>
    <s v="D003"/>
    <d v="2026-02-13T00:00:00"/>
    <x v="2"/>
    <x v="0"/>
    <n v="11"/>
  </r>
  <r>
    <s v="D004"/>
    <d v="2026-09-26T00:00:00"/>
    <x v="3"/>
    <x v="2"/>
    <n v="42"/>
  </r>
  <r>
    <s v="D005"/>
    <d v="2026-08-30T00:00:00"/>
    <x v="4"/>
    <x v="3"/>
    <n v="36"/>
  </r>
  <r>
    <s v="D006"/>
    <d v="2026-09-27T00:00:00"/>
    <x v="0"/>
    <x v="0"/>
    <n v="38"/>
  </r>
  <r>
    <s v="D007"/>
    <d v="2026-03-25T00:00:00"/>
    <x v="0"/>
    <x v="4"/>
    <n v="80"/>
  </r>
  <r>
    <s v="D008"/>
    <d v="2026-08-13T00:00:00"/>
    <x v="4"/>
    <x v="0"/>
    <n v="24"/>
  </r>
  <r>
    <s v="D009"/>
    <d v="2026-11-20T00:00:00"/>
    <x v="4"/>
    <x v="5"/>
    <n v="30"/>
  </r>
  <r>
    <s v="D010"/>
    <d v="2026-09-28T00:00:00"/>
    <x v="1"/>
    <x v="3"/>
    <n v="33"/>
  </r>
  <r>
    <s v="D011"/>
    <d v="2026-06-11T00:00:00"/>
    <x v="1"/>
    <x v="6"/>
    <n v="34"/>
  </r>
  <r>
    <s v="D012"/>
    <d v="2026-04-29T00:00:00"/>
    <x v="0"/>
    <x v="4"/>
    <n v="81"/>
  </r>
  <r>
    <s v="D013"/>
    <d v="2026-11-28T00:00:00"/>
    <x v="1"/>
    <x v="6"/>
    <n v="32"/>
  </r>
  <r>
    <s v="D014"/>
    <d v="2026-06-28T00:00:00"/>
    <x v="4"/>
    <x v="1"/>
    <n v="60"/>
  </r>
  <r>
    <s v="D015"/>
    <d v="2026-06-16T00:00:00"/>
    <x v="0"/>
    <x v="2"/>
    <n v="51"/>
  </r>
  <r>
    <s v="D016"/>
    <d v="2026-01-08T00:00:00"/>
    <x v="4"/>
    <x v="3"/>
    <n v="50"/>
  </r>
  <r>
    <s v="D017"/>
    <d v="2026-01-13T00:00:00"/>
    <x v="2"/>
    <x v="3"/>
    <n v="27"/>
  </r>
  <r>
    <s v="D018"/>
    <d v="2026-07-15T00:00:00"/>
    <x v="0"/>
    <x v="1"/>
    <n v="178"/>
  </r>
  <r>
    <s v="D019"/>
    <d v="2026-12-06T00:00:00"/>
    <x v="2"/>
    <x v="5"/>
    <n v="53"/>
  </r>
  <r>
    <s v="D020"/>
    <d v="2026-11-03T00:00:00"/>
    <x v="2"/>
    <x v="2"/>
    <n v="58"/>
  </r>
  <r>
    <s v="D021"/>
    <d v="2026-10-29T00:00:00"/>
    <x v="4"/>
    <x v="1"/>
    <n v="140"/>
  </r>
  <r>
    <s v="D022"/>
    <d v="2026-02-08T00:00:00"/>
    <x v="0"/>
    <x v="1"/>
    <n v="123"/>
  </r>
  <r>
    <s v="D023"/>
    <d v="2026-07-21T00:00:00"/>
    <x v="0"/>
    <x v="0"/>
    <n v="25"/>
  </r>
  <r>
    <s v="D024"/>
    <d v="2026-04-26T00:00:00"/>
    <x v="1"/>
    <x v="2"/>
    <n v="37"/>
  </r>
  <r>
    <s v="D025"/>
    <d v="2026-07-26T00:00:00"/>
    <x v="4"/>
    <x v="4"/>
    <n v="56"/>
  </r>
  <r>
    <s v="D026"/>
    <d v="2026-02-14T00:00:00"/>
    <x v="1"/>
    <x v="4"/>
    <n v="25"/>
  </r>
  <r>
    <s v="D027"/>
    <d v="2026-01-02T00:00:00"/>
    <x v="1"/>
    <x v="5"/>
    <n v="47"/>
  </r>
  <r>
    <s v="D028"/>
    <d v="2026-08-12T00:00:00"/>
    <x v="0"/>
    <x v="4"/>
    <n v="20"/>
  </r>
  <r>
    <s v="D029"/>
    <d v="2026-05-28T00:00:00"/>
    <x v="0"/>
    <x v="2"/>
    <n v="56"/>
  </r>
  <r>
    <s v="D030"/>
    <d v="2026-08-03T00:00:00"/>
    <x v="2"/>
    <x v="6"/>
    <n v="73"/>
  </r>
  <r>
    <s v="D031"/>
    <d v="2026-10-28T00:00:00"/>
    <x v="2"/>
    <x v="4"/>
    <n v="79"/>
  </r>
  <r>
    <s v="D032"/>
    <d v="2026-05-10T00:00:00"/>
    <x v="3"/>
    <x v="1"/>
    <n v="164"/>
  </r>
  <r>
    <s v="D033"/>
    <d v="2026-02-24T00:00:00"/>
    <x v="2"/>
    <x v="4"/>
    <n v="44"/>
  </r>
  <r>
    <s v="D034"/>
    <d v="2026-12-16T00:00:00"/>
    <x v="2"/>
    <x v="4"/>
    <n v="60"/>
  </r>
  <r>
    <s v="D035"/>
    <d v="2026-01-14T00:00:00"/>
    <x v="0"/>
    <x v="0"/>
    <n v="26"/>
  </r>
  <r>
    <s v="D036"/>
    <d v="2026-09-19T00:00:00"/>
    <x v="1"/>
    <x v="3"/>
    <n v="88"/>
  </r>
  <r>
    <s v="D037"/>
    <d v="2026-12-30T00:00:00"/>
    <x v="1"/>
    <x v="1"/>
    <n v="169"/>
  </r>
  <r>
    <s v="D038"/>
    <d v="2026-09-14T00:00:00"/>
    <x v="3"/>
    <x v="6"/>
    <n v="50"/>
  </r>
  <r>
    <s v="D039"/>
    <d v="2026-07-01T00:00:00"/>
    <x v="2"/>
    <x v="5"/>
    <n v="26"/>
  </r>
  <r>
    <s v="D040"/>
    <d v="2026-08-30T00:00:00"/>
    <x v="2"/>
    <x v="1"/>
    <n v="45"/>
  </r>
  <r>
    <s v="D041"/>
    <d v="2026-08-05T00:00:00"/>
    <x v="1"/>
    <x v="3"/>
    <n v="81"/>
  </r>
  <r>
    <s v="D042"/>
    <d v="2026-09-03T00:00:00"/>
    <x v="0"/>
    <x v="2"/>
    <n v="36"/>
  </r>
  <r>
    <s v="D043"/>
    <d v="2026-12-08T00:00:00"/>
    <x v="0"/>
    <x v="6"/>
    <n v="51"/>
  </r>
  <r>
    <s v="D044"/>
    <d v="2026-11-02T00:00:00"/>
    <x v="4"/>
    <x v="6"/>
    <n v="35"/>
  </r>
  <r>
    <s v="D045"/>
    <d v="2026-08-30T00:00:00"/>
    <x v="3"/>
    <x v="4"/>
    <n v="60"/>
  </r>
  <r>
    <s v="D046"/>
    <d v="2026-12-02T00:00:00"/>
    <x v="2"/>
    <x v="2"/>
    <n v="37"/>
  </r>
  <r>
    <s v="D047"/>
    <d v="2026-03-08T00:00:00"/>
    <x v="1"/>
    <x v="3"/>
    <n v="50"/>
  </r>
  <r>
    <s v="D048"/>
    <d v="2026-05-05T00:00:00"/>
    <x v="0"/>
    <x v="3"/>
    <n v="66"/>
  </r>
  <r>
    <s v="D049"/>
    <d v="2026-01-14T00:00:00"/>
    <x v="3"/>
    <x v="3"/>
    <n v="60"/>
  </r>
  <r>
    <s v="D050"/>
    <d v="2026-04-14T00:00:00"/>
    <x v="3"/>
    <x v="3"/>
    <n v="66"/>
  </r>
  <r>
    <s v="D051"/>
    <d v="2026-12-23T00:00:00"/>
    <x v="0"/>
    <x v="2"/>
    <n v="47"/>
  </r>
  <r>
    <s v="D052"/>
    <d v="2026-04-22T00:00:00"/>
    <x v="1"/>
    <x v="5"/>
    <n v="31"/>
  </r>
  <r>
    <s v="D053"/>
    <d v="2026-10-18T00:00:00"/>
    <x v="4"/>
    <x v="4"/>
    <n v="57"/>
  </r>
  <r>
    <s v="D054"/>
    <d v="2026-05-31T00:00:00"/>
    <x v="1"/>
    <x v="6"/>
    <n v="42"/>
  </r>
  <r>
    <s v="D055"/>
    <d v="2026-02-02T00:00:00"/>
    <x v="2"/>
    <x v="3"/>
    <n v="84"/>
  </r>
  <r>
    <s v="D056"/>
    <d v="2026-08-20T00:00:00"/>
    <x v="1"/>
    <x v="4"/>
    <n v="39"/>
  </r>
  <r>
    <s v="D057"/>
    <d v="2026-05-14T00:00:00"/>
    <x v="0"/>
    <x v="6"/>
    <n v="22"/>
  </r>
  <r>
    <s v="D058"/>
    <d v="2026-05-29T00:00:00"/>
    <x v="2"/>
    <x v="4"/>
    <n v="87"/>
  </r>
  <r>
    <s v="D059"/>
    <d v="2026-05-09T00:00:00"/>
    <x v="1"/>
    <x v="3"/>
    <n v="85"/>
  </r>
  <r>
    <s v="D060"/>
    <d v="2026-10-28T00:00:00"/>
    <x v="1"/>
    <x v="0"/>
    <n v="11"/>
  </r>
  <r>
    <s v="D061"/>
    <d v="2026-09-07T00:00:00"/>
    <x v="2"/>
    <x v="4"/>
    <n v="55"/>
  </r>
  <r>
    <s v="D062"/>
    <d v="2026-07-11T00:00:00"/>
    <x v="0"/>
    <x v="4"/>
    <n v="90"/>
  </r>
  <r>
    <s v="D063"/>
    <d v="2026-12-21T00:00:00"/>
    <x v="2"/>
    <x v="3"/>
    <n v="82"/>
  </r>
  <r>
    <s v="D064"/>
    <d v="2026-11-19T00:00:00"/>
    <x v="4"/>
    <x v="1"/>
    <n v="167"/>
  </r>
  <r>
    <s v="D065"/>
    <d v="2026-09-07T00:00:00"/>
    <x v="3"/>
    <x v="1"/>
    <n v="150"/>
  </r>
  <r>
    <s v="D066"/>
    <d v="2026-01-12T00:00:00"/>
    <x v="0"/>
    <x v="0"/>
    <n v="34"/>
  </r>
  <r>
    <s v="D067"/>
    <d v="2026-03-12T00:00:00"/>
    <x v="0"/>
    <x v="1"/>
    <n v="60"/>
  </r>
  <r>
    <s v="D068"/>
    <d v="2026-03-13T00:00:00"/>
    <x v="1"/>
    <x v="3"/>
    <n v="88"/>
  </r>
  <r>
    <s v="D069"/>
    <d v="2026-09-11T00:00:00"/>
    <x v="3"/>
    <x v="3"/>
    <n v="32"/>
  </r>
  <r>
    <s v="D070"/>
    <d v="2026-01-25T00:00:00"/>
    <x v="4"/>
    <x v="3"/>
    <n v="45"/>
  </r>
  <r>
    <s v="D071"/>
    <d v="2026-01-20T00:00:00"/>
    <x v="3"/>
    <x v="3"/>
    <n v="47"/>
  </r>
  <r>
    <s v="D072"/>
    <d v="2026-12-09T00:00:00"/>
    <x v="3"/>
    <x v="0"/>
    <n v="36"/>
  </r>
  <r>
    <s v="D073"/>
    <d v="2026-11-23T00:00:00"/>
    <x v="0"/>
    <x v="1"/>
    <n v="93"/>
  </r>
  <r>
    <s v="D074"/>
    <d v="2026-07-25T00:00:00"/>
    <x v="0"/>
    <x v="1"/>
    <n v="116"/>
  </r>
  <r>
    <s v="D075"/>
    <d v="2026-10-26T00:00:00"/>
    <x v="0"/>
    <x v="6"/>
    <n v="24"/>
  </r>
  <r>
    <s v="D076"/>
    <d v="2026-10-21T00:00:00"/>
    <x v="4"/>
    <x v="1"/>
    <n v="54"/>
  </r>
  <r>
    <s v="D077"/>
    <d v="2026-11-03T00:00:00"/>
    <x v="1"/>
    <x v="1"/>
    <n v="153"/>
  </r>
  <r>
    <s v="D078"/>
    <d v="2026-11-26T00:00:00"/>
    <x v="3"/>
    <x v="3"/>
    <n v="34"/>
  </r>
  <r>
    <s v="D079"/>
    <d v="2026-12-13T00:00:00"/>
    <x v="0"/>
    <x v="6"/>
    <n v="66"/>
  </r>
  <r>
    <s v="D080"/>
    <d v="2026-06-16T00:00:00"/>
    <x v="4"/>
    <x v="1"/>
    <n v="60"/>
  </r>
  <r>
    <s v="D081"/>
    <d v="2026-06-26T00:00:00"/>
    <x v="1"/>
    <x v="1"/>
    <n v="111"/>
  </r>
  <r>
    <s v="D082"/>
    <d v="2026-07-26T00:00:00"/>
    <x v="1"/>
    <x v="5"/>
    <n v="46"/>
  </r>
  <r>
    <s v="D083"/>
    <d v="2026-02-26T00:00:00"/>
    <x v="3"/>
    <x v="0"/>
    <n v="27"/>
  </r>
  <r>
    <s v="D084"/>
    <d v="2026-09-07T00:00:00"/>
    <x v="3"/>
    <x v="3"/>
    <n v="31"/>
  </r>
  <r>
    <s v="D085"/>
    <d v="2026-02-20T00:00:00"/>
    <x v="3"/>
    <x v="2"/>
    <n v="18"/>
  </r>
  <r>
    <s v="D086"/>
    <d v="2026-03-19T00:00:00"/>
    <x v="3"/>
    <x v="1"/>
    <n v="132"/>
  </r>
  <r>
    <s v="D087"/>
    <d v="2026-09-11T00:00:00"/>
    <x v="0"/>
    <x v="2"/>
    <n v="47"/>
  </r>
  <r>
    <s v="D088"/>
    <d v="2026-03-12T00:00:00"/>
    <x v="4"/>
    <x v="1"/>
    <n v="106"/>
  </r>
  <r>
    <s v="D089"/>
    <d v="2026-07-12T00:00:00"/>
    <x v="0"/>
    <x v="3"/>
    <n v="70"/>
  </r>
  <r>
    <s v="D090"/>
    <d v="2026-01-10T00:00:00"/>
    <x v="1"/>
    <x v="2"/>
    <n v="48"/>
  </r>
  <r>
    <s v="D091"/>
    <d v="2026-04-24T00:00:00"/>
    <x v="0"/>
    <x v="3"/>
    <n v="29"/>
  </r>
  <r>
    <s v="D092"/>
    <d v="2026-12-22T00:00:00"/>
    <x v="2"/>
    <x v="2"/>
    <n v="31"/>
  </r>
  <r>
    <s v="D093"/>
    <d v="2026-10-28T00:00:00"/>
    <x v="2"/>
    <x v="3"/>
    <n v="64"/>
  </r>
  <r>
    <s v="D094"/>
    <d v="2026-11-23T00:00:00"/>
    <x v="2"/>
    <x v="3"/>
    <n v="46"/>
  </r>
  <r>
    <s v="D095"/>
    <d v="2026-01-03T00:00:00"/>
    <x v="0"/>
    <x v="3"/>
    <n v="44"/>
  </r>
  <r>
    <s v="D096"/>
    <d v="2026-02-23T00:00:00"/>
    <x v="1"/>
    <x v="5"/>
    <n v="58"/>
  </r>
  <r>
    <s v="D097"/>
    <d v="2026-01-19T00:00:00"/>
    <x v="0"/>
    <x v="2"/>
    <n v="19"/>
  </r>
  <r>
    <s v="D098"/>
    <d v="2026-03-24T00:00:00"/>
    <x v="3"/>
    <x v="3"/>
    <n v="68"/>
  </r>
  <r>
    <s v="D099"/>
    <d v="2026-09-30T00:00:00"/>
    <x v="1"/>
    <x v="5"/>
    <n v="55"/>
  </r>
  <r>
    <s v="D100"/>
    <d v="2026-12-27T00:00:00"/>
    <x v="4"/>
    <x v="5"/>
    <n v="35"/>
  </r>
  <r>
    <s v="D101"/>
    <d v="2026-04-26T00:00:00"/>
    <x v="0"/>
    <x v="3"/>
    <n v="21"/>
  </r>
  <r>
    <s v="D102"/>
    <d v="2026-08-19T00:00:00"/>
    <x v="3"/>
    <x v="0"/>
    <n v="38"/>
  </r>
  <r>
    <s v="D103"/>
    <d v="2026-06-02T00:00:00"/>
    <x v="0"/>
    <x v="1"/>
    <n v="85"/>
  </r>
  <r>
    <s v="D104"/>
    <d v="2026-02-09T00:00:00"/>
    <x v="0"/>
    <x v="3"/>
    <n v="25"/>
  </r>
  <r>
    <s v="D105"/>
    <d v="2026-01-01T00:00:00"/>
    <x v="3"/>
    <x v="3"/>
    <n v="25"/>
  </r>
  <r>
    <s v="D106"/>
    <d v="2026-11-01T00:00:00"/>
    <x v="2"/>
    <x v="2"/>
    <n v="45"/>
  </r>
  <r>
    <s v="D107"/>
    <d v="2026-09-05T00:00:00"/>
    <x v="3"/>
    <x v="3"/>
    <n v="70"/>
  </r>
  <r>
    <s v="D108"/>
    <d v="2026-02-03T00:00:00"/>
    <x v="0"/>
    <x v="4"/>
    <n v="81"/>
  </r>
  <r>
    <s v="D109"/>
    <d v="2026-07-30T00:00:00"/>
    <x v="3"/>
    <x v="2"/>
    <n v="17"/>
  </r>
  <r>
    <s v="D110"/>
    <d v="2026-04-23T00:00:00"/>
    <x v="1"/>
    <x v="3"/>
    <n v="43"/>
  </r>
  <r>
    <s v="D111"/>
    <d v="2026-10-28T00:00:00"/>
    <x v="2"/>
    <x v="1"/>
    <n v="137"/>
  </r>
  <r>
    <s v="D112"/>
    <d v="2026-06-21T00:00:00"/>
    <x v="4"/>
    <x v="2"/>
    <n v="50"/>
  </r>
  <r>
    <s v="D113"/>
    <d v="2026-06-03T00:00:00"/>
    <x v="4"/>
    <x v="1"/>
    <n v="115"/>
  </r>
  <r>
    <s v="D114"/>
    <d v="2026-03-26T00:00:00"/>
    <x v="0"/>
    <x v="3"/>
    <n v="83"/>
  </r>
  <r>
    <s v="D115"/>
    <d v="2026-09-15T00:00:00"/>
    <x v="3"/>
    <x v="3"/>
    <n v="60"/>
  </r>
  <r>
    <s v="D116"/>
    <d v="2026-11-12T00:00:00"/>
    <x v="1"/>
    <x v="3"/>
    <n v="62"/>
  </r>
  <r>
    <s v="D117"/>
    <d v="2026-09-12T00:00:00"/>
    <x v="2"/>
    <x v="1"/>
    <n v="80"/>
  </r>
  <r>
    <s v="D118"/>
    <d v="2026-04-05T00:00:00"/>
    <x v="3"/>
    <x v="4"/>
    <n v="31"/>
  </r>
  <r>
    <s v="D119"/>
    <d v="2026-08-08T00:00:00"/>
    <x v="2"/>
    <x v="6"/>
    <n v="35"/>
  </r>
  <r>
    <s v="D120"/>
    <d v="2026-05-01T00:00:00"/>
    <x v="1"/>
    <x v="2"/>
    <n v="27"/>
  </r>
  <r>
    <s v="D121"/>
    <d v="2026-08-01T00:00:00"/>
    <x v="2"/>
    <x v="6"/>
    <n v="69"/>
  </r>
  <r>
    <s v="D122"/>
    <d v="2026-10-24T00:00:00"/>
    <x v="0"/>
    <x v="5"/>
    <n v="50"/>
  </r>
  <r>
    <s v="D123"/>
    <d v="2026-07-02T00:00:00"/>
    <x v="1"/>
    <x v="1"/>
    <n v="132"/>
  </r>
  <r>
    <s v="D124"/>
    <d v="2026-03-13T00:00:00"/>
    <x v="4"/>
    <x v="1"/>
    <n v="45"/>
  </r>
  <r>
    <s v="D125"/>
    <d v="2026-04-14T00:00:00"/>
    <x v="2"/>
    <x v="3"/>
    <n v="22"/>
  </r>
  <r>
    <s v="D126"/>
    <d v="2026-10-17T00:00:00"/>
    <x v="2"/>
    <x v="3"/>
    <n v="42"/>
  </r>
  <r>
    <s v="D127"/>
    <d v="2026-03-07T00:00:00"/>
    <x v="1"/>
    <x v="6"/>
    <n v="50"/>
  </r>
  <r>
    <s v="D128"/>
    <d v="2026-08-20T00:00:00"/>
    <x v="0"/>
    <x v="0"/>
    <n v="18"/>
  </r>
  <r>
    <s v="D129"/>
    <d v="2026-02-10T00:00:00"/>
    <x v="0"/>
    <x v="3"/>
    <n v="84"/>
  </r>
  <r>
    <s v="D130"/>
    <d v="2026-07-12T00:00:00"/>
    <x v="4"/>
    <x v="3"/>
    <n v="55"/>
  </r>
  <r>
    <s v="D131"/>
    <d v="2026-05-19T00:00:00"/>
    <x v="3"/>
    <x v="3"/>
    <n v="33"/>
  </r>
  <r>
    <s v="D132"/>
    <d v="2026-07-18T00:00:00"/>
    <x v="1"/>
    <x v="4"/>
    <n v="45"/>
  </r>
  <r>
    <s v="D133"/>
    <d v="2026-12-27T00:00:00"/>
    <x v="4"/>
    <x v="2"/>
    <n v="43"/>
  </r>
  <r>
    <s v="D134"/>
    <d v="2026-06-10T00:00:00"/>
    <x v="3"/>
    <x v="4"/>
    <n v="20"/>
  </r>
  <r>
    <s v="D135"/>
    <d v="2026-03-05T00:00:00"/>
    <x v="3"/>
    <x v="1"/>
    <n v="97"/>
  </r>
  <r>
    <s v="D136"/>
    <d v="2026-03-08T00:00:00"/>
    <x v="2"/>
    <x v="6"/>
    <n v="46"/>
  </r>
  <r>
    <s v="D137"/>
    <d v="2026-10-27T00:00:00"/>
    <x v="0"/>
    <x v="2"/>
    <n v="57"/>
  </r>
  <r>
    <s v="D138"/>
    <d v="2026-08-08T00:00:00"/>
    <x v="0"/>
    <x v="1"/>
    <n v="54"/>
  </r>
  <r>
    <s v="D139"/>
    <d v="2026-12-28T00:00:00"/>
    <x v="0"/>
    <x v="4"/>
    <n v="63"/>
  </r>
  <r>
    <s v="D140"/>
    <d v="2026-04-05T00:00:00"/>
    <x v="3"/>
    <x v="1"/>
    <n v="59"/>
  </r>
  <r>
    <s v="D141"/>
    <d v="2026-12-24T00:00:00"/>
    <x v="2"/>
    <x v="6"/>
    <n v="71"/>
  </r>
  <r>
    <s v="D142"/>
    <d v="2026-05-05T00:00:00"/>
    <x v="4"/>
    <x v="0"/>
    <n v="30"/>
  </r>
  <r>
    <s v="D143"/>
    <d v="2026-01-09T00:00:00"/>
    <x v="1"/>
    <x v="5"/>
    <n v="16"/>
  </r>
  <r>
    <s v="D144"/>
    <d v="2026-03-11T00:00:00"/>
    <x v="3"/>
    <x v="3"/>
    <n v="24"/>
  </r>
  <r>
    <s v="D145"/>
    <d v="2026-08-30T00:00:00"/>
    <x v="4"/>
    <x v="3"/>
    <n v="42"/>
  </r>
  <r>
    <s v="D146"/>
    <d v="2026-10-16T00:00:00"/>
    <x v="1"/>
    <x v="2"/>
    <n v="38"/>
  </r>
  <r>
    <s v="D147"/>
    <d v="2026-07-08T00:00:00"/>
    <x v="2"/>
    <x v="1"/>
    <n v="53"/>
  </r>
  <r>
    <s v="D148"/>
    <d v="2026-01-09T00:00:00"/>
    <x v="3"/>
    <x v="5"/>
    <n v="54"/>
  </r>
  <r>
    <s v="D149"/>
    <d v="2026-10-08T00:00:00"/>
    <x v="1"/>
    <x v="0"/>
    <n v="14"/>
  </r>
  <r>
    <s v="D150"/>
    <d v="2026-03-12T00:00:00"/>
    <x v="2"/>
    <x v="3"/>
    <n v="82"/>
  </r>
  <r>
    <s v="D151"/>
    <d v="2026-12-01T00:00:00"/>
    <x v="2"/>
    <x v="4"/>
    <n v="21"/>
  </r>
  <r>
    <s v="D152"/>
    <d v="2026-01-15T00:00:00"/>
    <x v="2"/>
    <x v="6"/>
    <n v="45"/>
  </r>
  <r>
    <s v="D153"/>
    <d v="2026-11-28T00:00:00"/>
    <x v="2"/>
    <x v="3"/>
    <n v="54"/>
  </r>
  <r>
    <s v="D154"/>
    <d v="2026-10-06T00:00:00"/>
    <x v="2"/>
    <x v="4"/>
    <n v="49"/>
  </r>
  <r>
    <s v="D155"/>
    <d v="2026-06-09T00:00:00"/>
    <x v="2"/>
    <x v="5"/>
    <n v="50"/>
  </r>
  <r>
    <s v="D156"/>
    <d v="2026-03-01T00:00:00"/>
    <x v="1"/>
    <x v="5"/>
    <n v="53"/>
  </r>
  <r>
    <s v="D157"/>
    <d v="2026-03-26T00:00:00"/>
    <x v="1"/>
    <x v="6"/>
    <n v="53"/>
  </r>
  <r>
    <s v="D158"/>
    <d v="2026-06-25T00:00:00"/>
    <x v="4"/>
    <x v="0"/>
    <n v="32"/>
  </r>
  <r>
    <s v="D159"/>
    <d v="2026-12-28T00:00:00"/>
    <x v="1"/>
    <x v="4"/>
    <n v="21"/>
  </r>
  <r>
    <s v="D160"/>
    <d v="2026-01-11T00:00:00"/>
    <x v="4"/>
    <x v="0"/>
    <n v="21"/>
  </r>
  <r>
    <s v="D161"/>
    <d v="2026-12-30T00:00:00"/>
    <x v="3"/>
    <x v="6"/>
    <n v="38"/>
  </r>
  <r>
    <s v="D162"/>
    <d v="2026-12-31T00:00:00"/>
    <x v="3"/>
    <x v="3"/>
    <n v="72"/>
  </r>
  <r>
    <s v="D163"/>
    <d v="2026-12-26T00:00:00"/>
    <x v="4"/>
    <x v="0"/>
    <n v="38"/>
  </r>
  <r>
    <s v="D164"/>
    <d v="2026-04-24T00:00:00"/>
    <x v="3"/>
    <x v="2"/>
    <n v="15"/>
  </r>
  <r>
    <s v="D165"/>
    <d v="2026-11-04T00:00:00"/>
    <x v="2"/>
    <x v="2"/>
    <n v="52"/>
  </r>
  <r>
    <s v="D166"/>
    <d v="2026-11-27T00:00:00"/>
    <x v="1"/>
    <x v="3"/>
    <n v="61"/>
  </r>
  <r>
    <s v="D167"/>
    <d v="2026-07-22T00:00:00"/>
    <x v="2"/>
    <x v="2"/>
    <n v="15"/>
  </r>
  <r>
    <s v="D168"/>
    <d v="2026-05-01T00:00:00"/>
    <x v="4"/>
    <x v="3"/>
    <n v="39"/>
  </r>
  <r>
    <s v="D169"/>
    <d v="2026-09-10T00:00:00"/>
    <x v="1"/>
    <x v="6"/>
    <n v="56"/>
  </r>
  <r>
    <s v="D170"/>
    <d v="2026-06-13T00:00:00"/>
    <x v="1"/>
    <x v="5"/>
    <n v="60"/>
  </r>
  <r>
    <s v="D171"/>
    <d v="2026-12-05T00:00:00"/>
    <x v="0"/>
    <x v="3"/>
    <n v="89"/>
  </r>
  <r>
    <s v="D172"/>
    <d v="2026-02-28T00:00:00"/>
    <x v="2"/>
    <x v="1"/>
    <n v="102"/>
  </r>
  <r>
    <s v="D173"/>
    <d v="2026-12-13T00:00:00"/>
    <x v="2"/>
    <x v="3"/>
    <n v="57"/>
  </r>
  <r>
    <s v="D174"/>
    <d v="2026-07-15T00:00:00"/>
    <x v="4"/>
    <x v="0"/>
    <n v="11"/>
  </r>
  <r>
    <s v="D175"/>
    <d v="2026-09-23T00:00:00"/>
    <x v="3"/>
    <x v="6"/>
    <n v="41"/>
  </r>
  <r>
    <s v="D176"/>
    <d v="2026-06-05T00:00:00"/>
    <x v="0"/>
    <x v="2"/>
    <n v="40"/>
  </r>
  <r>
    <s v="D177"/>
    <d v="2026-09-25T00:00:00"/>
    <x v="2"/>
    <x v="1"/>
    <n v="117"/>
  </r>
  <r>
    <s v="D178"/>
    <d v="2026-05-23T00:00:00"/>
    <x v="2"/>
    <x v="6"/>
    <n v="56"/>
  </r>
  <r>
    <s v="D179"/>
    <d v="2026-01-09T00:00:00"/>
    <x v="2"/>
    <x v="2"/>
    <n v="44"/>
  </r>
  <r>
    <s v="D180"/>
    <d v="2026-06-17T00:00:00"/>
    <x v="0"/>
    <x v="2"/>
    <n v="32"/>
  </r>
  <r>
    <s v="D181"/>
    <d v="2026-09-11T00:00:00"/>
    <x v="2"/>
    <x v="4"/>
    <n v="80"/>
  </r>
  <r>
    <s v="D182"/>
    <d v="2026-04-19T00:00:00"/>
    <x v="2"/>
    <x v="3"/>
    <n v="20"/>
  </r>
  <r>
    <s v="D183"/>
    <d v="2026-01-07T00:00:00"/>
    <x v="2"/>
    <x v="1"/>
    <n v="110"/>
  </r>
  <r>
    <s v="D184"/>
    <d v="2026-06-22T00:00:00"/>
    <x v="4"/>
    <x v="3"/>
    <n v="75"/>
  </r>
  <r>
    <s v="D185"/>
    <d v="2026-04-18T00:00:00"/>
    <x v="3"/>
    <x v="5"/>
    <n v="39"/>
  </r>
  <r>
    <s v="D186"/>
    <d v="2026-06-25T00:00:00"/>
    <x v="3"/>
    <x v="6"/>
    <n v="42"/>
  </r>
  <r>
    <s v="D187"/>
    <d v="2026-08-04T00:00:00"/>
    <x v="2"/>
    <x v="3"/>
    <n v="40"/>
  </r>
  <r>
    <s v="D188"/>
    <d v="2026-04-18T00:00:00"/>
    <x v="4"/>
    <x v="0"/>
    <n v="36"/>
  </r>
  <r>
    <s v="D189"/>
    <d v="2026-07-22T00:00:00"/>
    <x v="1"/>
    <x v="5"/>
    <n v="25"/>
  </r>
  <r>
    <s v="D190"/>
    <d v="2026-03-05T00:00:00"/>
    <x v="1"/>
    <x v="6"/>
    <n v="42"/>
  </r>
  <r>
    <s v="D191"/>
    <d v="2026-02-07T00:00:00"/>
    <x v="3"/>
    <x v="3"/>
    <n v="31"/>
  </r>
  <r>
    <s v="D192"/>
    <d v="2026-04-18T00:00:00"/>
    <x v="2"/>
    <x v="4"/>
    <n v="83"/>
  </r>
  <r>
    <s v="D193"/>
    <d v="2026-07-15T00:00:00"/>
    <x v="0"/>
    <x v="3"/>
    <n v="81"/>
  </r>
  <r>
    <s v="D194"/>
    <d v="2026-01-15T00:00:00"/>
    <x v="4"/>
    <x v="6"/>
    <n v="30"/>
  </r>
  <r>
    <s v="D195"/>
    <d v="2026-04-27T00:00:00"/>
    <x v="1"/>
    <x v="3"/>
    <n v="77"/>
  </r>
  <r>
    <s v="D196"/>
    <d v="2026-10-12T00:00:00"/>
    <x v="0"/>
    <x v="2"/>
    <n v="38"/>
  </r>
  <r>
    <s v="D197"/>
    <d v="2026-08-21T00:00:00"/>
    <x v="3"/>
    <x v="1"/>
    <n v="121"/>
  </r>
  <r>
    <s v="D198"/>
    <d v="2026-03-27T00:00:00"/>
    <x v="3"/>
    <x v="1"/>
    <n v="121"/>
  </r>
  <r>
    <s v="D199"/>
    <d v="2026-05-14T00:00:00"/>
    <x v="1"/>
    <x v="1"/>
    <n v="107"/>
  </r>
  <r>
    <s v="D200"/>
    <d v="2026-02-07T00:00:00"/>
    <x v="0"/>
    <x v="5"/>
    <n v="4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s v="C024"/>
    <d v="2026-08-19T00:00:00"/>
    <s v="PET"/>
    <n v="454"/>
    <n v="54"/>
    <x v="0"/>
  </r>
  <r>
    <x v="1"/>
    <s v="C017"/>
    <d v="2026-12-11T00:00:00"/>
    <s v="PP"/>
    <n v="752"/>
    <n v="43"/>
    <x v="0"/>
  </r>
  <r>
    <x v="2"/>
    <s v="C027"/>
    <d v="2026-12-17T00:00:00"/>
    <s v="Mixed"/>
    <n v="299"/>
    <n v="11"/>
    <x v="0"/>
  </r>
  <r>
    <x v="3"/>
    <s v="C003"/>
    <d v="2026-09-04T00:00:00"/>
    <s v="Mixed"/>
    <n v="538"/>
    <n v="34"/>
    <x v="0"/>
  </r>
  <r>
    <x v="4"/>
    <s v="C024"/>
    <d v="2026-04-23T00:00:00"/>
    <s v="LPDE"/>
    <n v="696"/>
    <n v="34"/>
    <x v="0"/>
  </r>
  <r>
    <x v="5"/>
    <s v="C021"/>
    <d v="2026-06-23T00:00:00"/>
    <s v="PP"/>
    <n v="892"/>
    <n v="25"/>
    <x v="0"/>
  </r>
  <r>
    <x v="6"/>
    <s v="C002"/>
    <d v="2026-09-27T00:00:00"/>
    <s v="PET"/>
    <n v="805"/>
    <n v="20"/>
    <x v="0"/>
  </r>
  <r>
    <x v="7"/>
    <s v="C023"/>
    <d v="2026-12-13T00:00:00"/>
    <s v="PET"/>
    <n v="638"/>
    <n v="13"/>
    <x v="0"/>
  </r>
  <r>
    <x v="8"/>
    <s v="C018"/>
    <d v="2026-01-07T00:00:00"/>
    <s v="HDPE"/>
    <n v="384"/>
    <n v="26"/>
    <x v="0"/>
  </r>
  <r>
    <x v="9"/>
    <s v="C018"/>
    <d v="2026-01-15T00:00:00"/>
    <s v="Mixed"/>
    <n v="715"/>
    <n v="38"/>
    <x v="0"/>
  </r>
  <r>
    <x v="10"/>
    <s v="C007"/>
    <d v="2026-11-06T00:00:00"/>
    <s v="PP"/>
    <n v="500"/>
    <n v="9"/>
    <x v="0"/>
  </r>
  <r>
    <x v="11"/>
    <s v="C011"/>
    <d v="2026-08-16T00:00:00"/>
    <s v="HDPE"/>
    <n v="224"/>
    <n v="16"/>
    <x v="0"/>
  </r>
  <r>
    <x v="12"/>
    <s v="C012"/>
    <d v="2026-02-07T00:00:00"/>
    <s v="PP"/>
    <n v="931"/>
    <n v="32"/>
    <x v="0"/>
  </r>
  <r>
    <x v="13"/>
    <s v="C007"/>
    <d v="2026-12-17T00:00:00"/>
    <s v="Mixed"/>
    <n v="867"/>
    <n v="29"/>
    <x v="0"/>
  </r>
  <r>
    <x v="14"/>
    <s v="C010"/>
    <d v="2026-09-07T00:00:00"/>
    <s v="PP"/>
    <n v="1049"/>
    <n v="55"/>
    <x v="0"/>
  </r>
  <r>
    <x v="15"/>
    <s v="C024"/>
    <d v="2026-11-21T00:00:00"/>
    <s v="PP"/>
    <n v="481"/>
    <n v="6"/>
    <x v="0"/>
  </r>
  <r>
    <x v="16"/>
    <s v="C026"/>
    <d v="2026-10-25T00:00:00"/>
    <s v="HDPE"/>
    <n v="1002"/>
    <n v="34"/>
    <x v="1"/>
  </r>
  <r>
    <x v="17"/>
    <s v="C007"/>
    <d v="2026-12-08T00:00:00"/>
    <s v="PET"/>
    <n v="656"/>
    <n v="24"/>
    <x v="0"/>
  </r>
  <r>
    <x v="18"/>
    <s v="C022"/>
    <d v="2026-12-16T00:00:00"/>
    <s v="HDPE"/>
    <n v="713"/>
    <n v="50"/>
    <x v="0"/>
  </r>
  <r>
    <x v="19"/>
    <s v="C008"/>
    <d v="2026-01-08T00:00:00"/>
    <s v="PP"/>
    <n v="566"/>
    <n v="57"/>
    <x v="0"/>
  </r>
  <r>
    <x v="20"/>
    <s v="C018"/>
    <d v="2026-07-01T00:00:00"/>
    <s v="Mixed"/>
    <n v="994"/>
    <n v="50"/>
    <x v="0"/>
  </r>
  <r>
    <x v="21"/>
    <s v="C003"/>
    <d v="2026-01-09T00:00:00"/>
    <s v="PP"/>
    <n v="497"/>
    <n v="17"/>
    <x v="1"/>
  </r>
  <r>
    <x v="22"/>
    <s v="C013"/>
    <d v="2026-12-10T00:00:00"/>
    <s v="PP"/>
    <n v="505"/>
    <n v="14"/>
    <x v="1"/>
  </r>
  <r>
    <x v="23"/>
    <s v="C024"/>
    <d v="2026-09-30T00:00:00"/>
    <s v="PP"/>
    <n v="706"/>
    <n v="10"/>
    <x v="0"/>
  </r>
  <r>
    <x v="24"/>
    <s v="C001"/>
    <d v="2026-12-11T00:00:00"/>
    <s v="PET"/>
    <n v="688"/>
    <n v="19"/>
    <x v="0"/>
  </r>
  <r>
    <x v="25"/>
    <s v="C025"/>
    <d v="2026-07-08T00:00:00"/>
    <s v="PET"/>
    <n v="584"/>
    <n v="10"/>
    <x v="0"/>
  </r>
  <r>
    <x v="26"/>
    <s v="C025"/>
    <d v="2026-02-01T00:00:00"/>
    <s v="HDPE"/>
    <n v="465"/>
    <n v="6"/>
    <x v="0"/>
  </r>
  <r>
    <x v="27"/>
    <s v="C008"/>
    <d v="2026-07-29T00:00:00"/>
    <s v="PET"/>
    <n v="582"/>
    <n v="14"/>
    <x v="0"/>
  </r>
  <r>
    <x v="28"/>
    <s v="C001"/>
    <d v="2026-01-15T00:00:00"/>
    <s v="PP"/>
    <n v="1146"/>
    <n v="32"/>
    <x v="1"/>
  </r>
  <r>
    <x v="29"/>
    <s v="C022"/>
    <d v="2026-06-07T00:00:00"/>
    <s v="Mixed"/>
    <n v="208"/>
    <n v="31"/>
    <x v="0"/>
  </r>
  <r>
    <x v="30"/>
    <s v="C015"/>
    <d v="2026-09-29T00:00:00"/>
    <s v="PP"/>
    <n v="920"/>
    <n v="10"/>
    <x v="1"/>
  </r>
  <r>
    <x v="31"/>
    <s v="C018"/>
    <d v="2026-03-14T00:00:00"/>
    <s v="PP"/>
    <n v="884"/>
    <n v="18"/>
    <x v="0"/>
  </r>
  <r>
    <x v="32"/>
    <s v="C025"/>
    <d v="2026-06-23T00:00:00"/>
    <s v="HDPE"/>
    <n v="782"/>
    <n v="38"/>
    <x v="0"/>
  </r>
  <r>
    <x v="33"/>
    <s v="C015"/>
    <d v="2026-10-04T00:00:00"/>
    <s v="Mixed"/>
    <n v="1124"/>
    <n v="27"/>
    <x v="0"/>
  </r>
  <r>
    <x v="34"/>
    <s v="C026"/>
    <d v="2026-05-14T00:00:00"/>
    <s v="PP"/>
    <n v="835"/>
    <n v="20"/>
    <x v="0"/>
  </r>
  <r>
    <x v="35"/>
    <s v="C005"/>
    <d v="2026-12-24T00:00:00"/>
    <s v="PP"/>
    <n v="925"/>
    <n v="32"/>
    <x v="0"/>
  </r>
  <r>
    <x v="36"/>
    <s v="C009"/>
    <d v="2026-02-19T00:00:00"/>
    <s v="PP"/>
    <n v="845"/>
    <n v="20"/>
    <x v="0"/>
  </r>
  <r>
    <x v="37"/>
    <s v="C020"/>
    <d v="2026-06-24T00:00:00"/>
    <s v="PET"/>
    <n v="574"/>
    <n v="31"/>
    <x v="0"/>
  </r>
  <r>
    <x v="38"/>
    <s v="C012"/>
    <d v="2026-03-07T00:00:00"/>
    <s v="PP"/>
    <n v="280"/>
    <n v="53"/>
    <x v="0"/>
  </r>
  <r>
    <x v="39"/>
    <s v="C014"/>
    <d v="2026-04-29T00:00:00"/>
    <s v="PET"/>
    <n v="1166"/>
    <n v="45"/>
    <x v="0"/>
  </r>
  <r>
    <x v="40"/>
    <s v="C006"/>
    <d v="2026-05-03T00:00:00"/>
    <s v="PET"/>
    <n v="683"/>
    <n v="33"/>
    <x v="0"/>
  </r>
  <r>
    <x v="41"/>
    <s v="C019"/>
    <d v="2026-06-07T00:00:00"/>
    <s v="HDPE"/>
    <n v="705"/>
    <n v="54"/>
    <x v="0"/>
  </r>
  <r>
    <x v="42"/>
    <s v="C015"/>
    <d v="2026-08-10T00:00:00"/>
    <s v="Mixed"/>
    <n v="348"/>
    <n v="18"/>
    <x v="1"/>
  </r>
  <r>
    <x v="43"/>
    <s v="C004"/>
    <d v="2026-06-16T00:00:00"/>
    <s v="LPDE"/>
    <n v="445"/>
    <n v="8"/>
    <x v="0"/>
  </r>
  <r>
    <x v="44"/>
    <s v="C018"/>
    <d v="2026-03-22T00:00:00"/>
    <s v="HDPE"/>
    <n v="972"/>
    <n v="22"/>
    <x v="1"/>
  </r>
  <r>
    <x v="45"/>
    <s v="C023"/>
    <d v="2026-06-14T00:00:00"/>
    <s v="LPDE"/>
    <n v="1110"/>
    <n v="16"/>
    <x v="1"/>
  </r>
  <r>
    <x v="46"/>
    <s v="C020"/>
    <d v="2026-10-07T00:00:00"/>
    <s v="HDPE"/>
    <n v="719"/>
    <n v="33"/>
    <x v="0"/>
  </r>
  <r>
    <x v="47"/>
    <s v="C022"/>
    <d v="2026-09-13T00:00:00"/>
    <s v="LPDE"/>
    <n v="459"/>
    <n v="43"/>
    <x v="0"/>
  </r>
  <r>
    <x v="48"/>
    <s v="C007"/>
    <d v="2026-03-14T00:00:00"/>
    <s v="PP"/>
    <n v="862"/>
    <n v="20"/>
    <x v="0"/>
  </r>
  <r>
    <x v="49"/>
    <s v="C012"/>
    <d v="2026-02-06T00:00:00"/>
    <s v="Mixed"/>
    <n v="562"/>
    <n v="38"/>
    <x v="0"/>
  </r>
  <r>
    <x v="50"/>
    <s v="C014"/>
    <d v="2026-10-07T00:00:00"/>
    <s v="Mixed"/>
    <n v="1080"/>
    <n v="38"/>
    <x v="0"/>
  </r>
  <r>
    <x v="51"/>
    <s v="C022"/>
    <d v="2026-09-14T00:00:00"/>
    <s v="PP"/>
    <n v="502"/>
    <n v="35"/>
    <x v="0"/>
  </r>
  <r>
    <x v="52"/>
    <s v="C003"/>
    <d v="2026-10-11T00:00:00"/>
    <s v="HDPE"/>
    <n v="1132"/>
    <n v="45"/>
    <x v="0"/>
  </r>
  <r>
    <x v="53"/>
    <s v="C015"/>
    <d v="2026-07-18T00:00:00"/>
    <s v="PP"/>
    <n v="696"/>
    <n v="45"/>
    <x v="0"/>
  </r>
  <r>
    <x v="54"/>
    <s v="C028"/>
    <d v="2026-03-10T00:00:00"/>
    <s v="Mixed"/>
    <n v="905"/>
    <n v="34"/>
    <x v="0"/>
  </r>
  <r>
    <x v="55"/>
    <s v="C009"/>
    <d v="2026-04-13T00:00:00"/>
    <s v="PP"/>
    <n v="363"/>
    <n v="16"/>
    <x v="0"/>
  </r>
  <r>
    <x v="56"/>
    <s v="C010"/>
    <d v="2026-08-28T00:00:00"/>
    <s v="HDPE"/>
    <n v="390"/>
    <n v="25"/>
    <x v="1"/>
  </r>
  <r>
    <x v="57"/>
    <s v="C003"/>
    <d v="2026-11-18T00:00:00"/>
    <s v="LPDE"/>
    <n v="569"/>
    <n v="29"/>
    <x v="0"/>
  </r>
  <r>
    <x v="58"/>
    <s v="C026"/>
    <d v="2026-03-15T00:00:00"/>
    <s v="Mixed"/>
    <n v="1166"/>
    <n v="11"/>
    <x v="0"/>
  </r>
  <r>
    <x v="59"/>
    <s v="C008"/>
    <d v="2026-07-07T00:00:00"/>
    <s v="LPDE"/>
    <n v="770"/>
    <n v="40"/>
    <x v="0"/>
  </r>
  <r>
    <x v="60"/>
    <s v="C009"/>
    <d v="2026-03-10T00:00:00"/>
    <s v="LPDE"/>
    <n v="804"/>
    <n v="35"/>
    <x v="0"/>
  </r>
  <r>
    <x v="61"/>
    <s v="C013"/>
    <d v="2026-08-22T00:00:00"/>
    <s v="HDPE"/>
    <n v="516"/>
    <n v="14"/>
    <x v="1"/>
  </r>
  <r>
    <x v="62"/>
    <s v="C022"/>
    <d v="2026-03-24T00:00:00"/>
    <s v="PP"/>
    <n v="364"/>
    <n v="42"/>
    <x v="0"/>
  </r>
  <r>
    <x v="63"/>
    <s v="C019"/>
    <d v="2026-09-15T00:00:00"/>
    <s v="PET"/>
    <n v="1124"/>
    <n v="53"/>
    <x v="0"/>
  </r>
  <r>
    <x v="64"/>
    <s v="C028"/>
    <d v="2026-08-07T00:00:00"/>
    <s v="HDPE"/>
    <n v="830"/>
    <n v="34"/>
    <x v="0"/>
  </r>
  <r>
    <x v="65"/>
    <s v="C011"/>
    <d v="2026-05-12T00:00:00"/>
    <s v="PET"/>
    <n v="683"/>
    <n v="19"/>
    <x v="0"/>
  </r>
  <r>
    <x v="66"/>
    <s v="C004"/>
    <d v="2026-10-03T00:00:00"/>
    <s v="HDPE"/>
    <n v="529"/>
    <n v="57"/>
    <x v="0"/>
  </r>
  <r>
    <x v="67"/>
    <s v="C005"/>
    <d v="2026-11-28T00:00:00"/>
    <s v="HDPE"/>
    <n v="683"/>
    <n v="60"/>
    <x v="0"/>
  </r>
  <r>
    <x v="68"/>
    <s v="C017"/>
    <d v="2026-09-12T00:00:00"/>
    <s v="Mixed"/>
    <n v="933"/>
    <n v="10"/>
    <x v="0"/>
  </r>
  <r>
    <x v="69"/>
    <s v="C011"/>
    <d v="2026-07-24T00:00:00"/>
    <s v="PET"/>
    <n v="672"/>
    <n v="34"/>
    <x v="0"/>
  </r>
  <r>
    <x v="70"/>
    <s v="C012"/>
    <d v="2026-04-06T00:00:00"/>
    <s v="LPDE"/>
    <n v="1054"/>
    <n v="50"/>
    <x v="0"/>
  </r>
  <r>
    <x v="71"/>
    <s v="C010"/>
    <d v="2026-05-07T00:00:00"/>
    <s v="Mixed"/>
    <n v="1106"/>
    <n v="10"/>
    <x v="0"/>
  </r>
  <r>
    <x v="72"/>
    <s v="C011"/>
    <d v="2026-06-04T00:00:00"/>
    <s v="PET"/>
    <n v="641"/>
    <n v="52"/>
    <x v="0"/>
  </r>
  <r>
    <x v="73"/>
    <s v="C005"/>
    <d v="2026-10-10T00:00:00"/>
    <s v="PP"/>
    <n v="285"/>
    <n v="8"/>
    <x v="0"/>
  </r>
  <r>
    <x v="74"/>
    <s v="C018"/>
    <d v="2026-09-30T00:00:00"/>
    <s v="Mixed"/>
    <n v="801"/>
    <n v="15"/>
    <x v="0"/>
  </r>
  <r>
    <x v="75"/>
    <s v="C021"/>
    <d v="2026-03-06T00:00:00"/>
    <s v="HDPE"/>
    <n v="1086"/>
    <n v="54"/>
    <x v="1"/>
  </r>
  <r>
    <x v="76"/>
    <s v="C012"/>
    <d v="2026-06-17T00:00:00"/>
    <s v="PET"/>
    <n v="780"/>
    <n v="43"/>
    <x v="0"/>
  </r>
  <r>
    <x v="77"/>
    <s v="C004"/>
    <d v="2026-11-16T00:00:00"/>
    <s v="HDPE"/>
    <n v="206"/>
    <n v="47"/>
    <x v="0"/>
  </r>
  <r>
    <x v="78"/>
    <s v="C024"/>
    <d v="2026-09-14T00:00:00"/>
    <s v="LPDE"/>
    <n v="1158"/>
    <n v="32"/>
    <x v="0"/>
  </r>
  <r>
    <x v="79"/>
    <s v="C015"/>
    <d v="2026-07-24T00:00:00"/>
    <s v="Mixed"/>
    <n v="944"/>
    <n v="51"/>
    <x v="0"/>
  </r>
  <r>
    <x v="80"/>
    <s v="C026"/>
    <d v="2026-04-18T00:00:00"/>
    <s v="HDPE"/>
    <n v="752"/>
    <n v="50"/>
    <x v="0"/>
  </r>
  <r>
    <x v="81"/>
    <s v="C015"/>
    <d v="2026-11-15T00:00:00"/>
    <s v="PET"/>
    <n v="669"/>
    <n v="14"/>
    <x v="0"/>
  </r>
  <r>
    <x v="82"/>
    <s v="C005"/>
    <d v="2026-01-10T00:00:00"/>
    <s v="Mixed"/>
    <n v="938"/>
    <n v="14"/>
    <x v="0"/>
  </r>
  <r>
    <x v="83"/>
    <s v="C024"/>
    <d v="2026-07-03T00:00:00"/>
    <s v="LPDE"/>
    <n v="894"/>
    <n v="59"/>
    <x v="0"/>
  </r>
  <r>
    <x v="84"/>
    <s v="C019"/>
    <d v="2026-08-24T00:00:00"/>
    <s v="PET"/>
    <n v="839"/>
    <n v="55"/>
    <x v="1"/>
  </r>
  <r>
    <x v="85"/>
    <s v="C005"/>
    <d v="2026-05-05T00:00:00"/>
    <s v="PP"/>
    <n v="486"/>
    <n v="9"/>
    <x v="0"/>
  </r>
  <r>
    <x v="86"/>
    <s v="C022"/>
    <d v="2026-02-01T00:00:00"/>
    <s v="Mixed"/>
    <n v="570"/>
    <n v="46"/>
    <x v="0"/>
  </r>
  <r>
    <x v="87"/>
    <s v="C002"/>
    <d v="2026-08-07T00:00:00"/>
    <s v="PET"/>
    <n v="284"/>
    <n v="14"/>
    <x v="0"/>
  </r>
  <r>
    <x v="88"/>
    <s v="C011"/>
    <d v="2026-08-06T00:00:00"/>
    <s v="Mixed"/>
    <n v="1171"/>
    <n v="12"/>
    <x v="0"/>
  </r>
  <r>
    <x v="89"/>
    <s v="C010"/>
    <d v="2026-05-12T00:00:00"/>
    <s v="PET"/>
    <n v="409"/>
    <n v="53"/>
    <x v="1"/>
  </r>
  <r>
    <x v="90"/>
    <s v="C022"/>
    <d v="2026-12-04T00:00:00"/>
    <s v="Mixed"/>
    <n v="425"/>
    <n v="41"/>
    <x v="0"/>
  </r>
  <r>
    <x v="91"/>
    <s v="C003"/>
    <d v="2026-04-01T00:00:00"/>
    <s v="HDPE"/>
    <n v="373"/>
    <n v="47"/>
    <x v="0"/>
  </r>
  <r>
    <x v="92"/>
    <s v="C008"/>
    <d v="2026-09-01T00:00:00"/>
    <s v="PET"/>
    <n v="865"/>
    <n v="52"/>
    <x v="0"/>
  </r>
  <r>
    <x v="93"/>
    <s v="C019"/>
    <d v="2026-09-22T00:00:00"/>
    <s v="PP"/>
    <n v="849"/>
    <n v="45"/>
    <x v="1"/>
  </r>
  <r>
    <x v="94"/>
    <s v="C017"/>
    <d v="2026-06-16T00:00:00"/>
    <s v="LPDE"/>
    <n v="1187"/>
    <n v="37"/>
    <x v="0"/>
  </r>
  <r>
    <x v="95"/>
    <s v="C006"/>
    <d v="2026-01-26T00:00:00"/>
    <s v="HDPE"/>
    <n v="841"/>
    <n v="23"/>
    <x v="0"/>
  </r>
  <r>
    <x v="96"/>
    <s v="C019"/>
    <d v="2026-11-21T00:00:00"/>
    <s v="PP"/>
    <n v="890"/>
    <n v="43"/>
    <x v="1"/>
  </r>
  <r>
    <x v="97"/>
    <s v="C016"/>
    <d v="2026-11-27T00:00:00"/>
    <s v="Mixed"/>
    <n v="639"/>
    <n v="31"/>
    <x v="0"/>
  </r>
  <r>
    <x v="98"/>
    <s v="C017"/>
    <d v="2026-11-05T00:00:00"/>
    <s v="LPDE"/>
    <n v="737"/>
    <n v="45"/>
    <x v="0"/>
  </r>
  <r>
    <x v="99"/>
    <s v="C001"/>
    <d v="2026-06-04T00:00:00"/>
    <s v="PP"/>
    <n v="822"/>
    <n v="41"/>
    <x v="1"/>
  </r>
  <r>
    <x v="100"/>
    <s v="C007"/>
    <d v="2026-12-17T00:00:00"/>
    <s v="LPDE"/>
    <n v="593"/>
    <n v="54"/>
    <x v="0"/>
  </r>
  <r>
    <x v="101"/>
    <s v="C009"/>
    <d v="2026-01-05T00:00:00"/>
    <s v="LPDE"/>
    <n v="311"/>
    <n v="18"/>
    <x v="0"/>
  </r>
  <r>
    <x v="102"/>
    <s v="C027"/>
    <d v="2026-07-31T00:00:00"/>
    <s v="PP"/>
    <n v="761"/>
    <n v="10"/>
    <x v="0"/>
  </r>
  <r>
    <x v="103"/>
    <s v="C017"/>
    <d v="2026-07-24T00:00:00"/>
    <s v="HDPE"/>
    <n v="332"/>
    <n v="25"/>
    <x v="1"/>
  </r>
  <r>
    <x v="104"/>
    <s v="C011"/>
    <d v="2026-11-01T00:00:00"/>
    <s v="PP"/>
    <n v="959"/>
    <n v="5"/>
    <x v="1"/>
  </r>
  <r>
    <x v="105"/>
    <s v="C018"/>
    <d v="2026-11-03T00:00:00"/>
    <s v="HDPE"/>
    <n v="678"/>
    <n v="28"/>
    <x v="1"/>
  </r>
  <r>
    <x v="106"/>
    <s v="C010"/>
    <d v="2026-10-24T00:00:00"/>
    <s v="Mixed"/>
    <n v="705"/>
    <n v="24"/>
    <x v="0"/>
  </r>
  <r>
    <x v="107"/>
    <s v="C023"/>
    <d v="2026-11-14T00:00:00"/>
    <s v="HDPE"/>
    <n v="1083"/>
    <n v="48"/>
    <x v="0"/>
  </r>
  <r>
    <x v="108"/>
    <s v="C026"/>
    <d v="2026-10-04T00:00:00"/>
    <s v="Mixed"/>
    <n v="1113"/>
    <n v="8"/>
    <x v="0"/>
  </r>
  <r>
    <x v="109"/>
    <s v="C030"/>
    <d v="2026-09-15T00:00:00"/>
    <s v="LPDE"/>
    <n v="382"/>
    <n v="38"/>
    <x v="0"/>
  </r>
  <r>
    <x v="110"/>
    <s v="C009"/>
    <d v="2026-04-04T00:00:00"/>
    <s v="LPDE"/>
    <n v="1087"/>
    <n v="8"/>
    <x v="0"/>
  </r>
  <r>
    <x v="111"/>
    <s v="C030"/>
    <d v="2026-08-13T00:00:00"/>
    <s v="LPDE"/>
    <n v="786"/>
    <n v="30"/>
    <x v="0"/>
  </r>
  <r>
    <x v="112"/>
    <s v="C022"/>
    <d v="2026-12-17T00:00:00"/>
    <s v="PP"/>
    <n v="1004"/>
    <n v="25"/>
    <x v="0"/>
  </r>
  <r>
    <x v="113"/>
    <s v="C006"/>
    <d v="2026-10-08T00:00:00"/>
    <s v="LPDE"/>
    <n v="373"/>
    <n v="31"/>
    <x v="0"/>
  </r>
  <r>
    <x v="114"/>
    <s v="C008"/>
    <d v="2026-01-10T00:00:00"/>
    <s v="HDPE"/>
    <n v="901"/>
    <n v="33"/>
    <x v="0"/>
  </r>
  <r>
    <x v="115"/>
    <s v="C003"/>
    <d v="2026-01-26T00:00:00"/>
    <s v="PP"/>
    <n v="988"/>
    <n v="33"/>
    <x v="0"/>
  </r>
  <r>
    <x v="116"/>
    <s v="C026"/>
    <d v="2026-10-06T00:00:00"/>
    <s v="PP"/>
    <n v="993"/>
    <n v="33"/>
    <x v="0"/>
  </r>
  <r>
    <x v="117"/>
    <s v="C024"/>
    <d v="2026-04-01T00:00:00"/>
    <s v="Mixed"/>
    <n v="1068"/>
    <n v="31"/>
    <x v="0"/>
  </r>
  <r>
    <x v="118"/>
    <s v="C001"/>
    <d v="2026-12-16T00:00:00"/>
    <s v="PET"/>
    <n v="459"/>
    <n v="26"/>
    <x v="0"/>
  </r>
  <r>
    <x v="119"/>
    <s v="C026"/>
    <d v="2026-02-01T00:00:00"/>
    <s v="LPDE"/>
    <n v="265"/>
    <n v="17"/>
    <x v="1"/>
  </r>
  <r>
    <x v="120"/>
    <s v="C010"/>
    <d v="2026-05-11T00:00:00"/>
    <s v="HDPE"/>
    <n v="542"/>
    <n v="12"/>
    <x v="0"/>
  </r>
  <r>
    <x v="121"/>
    <s v="C023"/>
    <d v="2026-04-27T00:00:00"/>
    <s v="Mixed"/>
    <n v="848"/>
    <n v="54"/>
    <x v="0"/>
  </r>
  <r>
    <x v="122"/>
    <s v="C004"/>
    <d v="2026-06-14T00:00:00"/>
    <s v="HDPE"/>
    <n v="947"/>
    <n v="51"/>
    <x v="1"/>
  </r>
  <r>
    <x v="123"/>
    <s v="C006"/>
    <d v="2026-06-22T00:00:00"/>
    <s v="PET"/>
    <n v="700"/>
    <n v="5"/>
    <x v="0"/>
  </r>
  <r>
    <x v="124"/>
    <s v="C009"/>
    <d v="2026-05-19T00:00:00"/>
    <s v="Mixed"/>
    <n v="1023"/>
    <n v="37"/>
    <x v="0"/>
  </r>
  <r>
    <x v="125"/>
    <s v="C004"/>
    <d v="2026-04-27T00:00:00"/>
    <s v="HDPE"/>
    <n v="1141"/>
    <n v="56"/>
    <x v="0"/>
  </r>
  <r>
    <x v="126"/>
    <s v="C017"/>
    <d v="2026-02-13T00:00:00"/>
    <s v="HDPE"/>
    <n v="283"/>
    <n v="35"/>
    <x v="1"/>
  </r>
  <r>
    <x v="127"/>
    <s v="C007"/>
    <d v="2026-04-15T00:00:00"/>
    <s v="PET"/>
    <n v="435"/>
    <n v="54"/>
    <x v="0"/>
  </r>
  <r>
    <x v="128"/>
    <s v="C014"/>
    <d v="2026-04-26T00:00:00"/>
    <s v="PP"/>
    <n v="761"/>
    <n v="6"/>
    <x v="0"/>
  </r>
  <r>
    <x v="129"/>
    <s v="C013"/>
    <d v="2026-10-02T00:00:00"/>
    <s v="HDPE"/>
    <n v="1061"/>
    <n v="41"/>
    <x v="0"/>
  </r>
  <r>
    <x v="130"/>
    <s v="C029"/>
    <d v="2026-01-17T00:00:00"/>
    <s v="PET"/>
    <n v="836"/>
    <n v="33"/>
    <x v="0"/>
  </r>
  <r>
    <x v="131"/>
    <s v="C028"/>
    <d v="2026-08-03T00:00:00"/>
    <s v="LPDE"/>
    <n v="898"/>
    <n v="25"/>
    <x v="0"/>
  </r>
  <r>
    <x v="132"/>
    <s v="C022"/>
    <d v="2026-10-03T00:00:00"/>
    <s v="PET"/>
    <n v="587"/>
    <n v="59"/>
    <x v="0"/>
  </r>
  <r>
    <x v="133"/>
    <s v="C027"/>
    <d v="2026-01-12T00:00:00"/>
    <s v="HDPE"/>
    <n v="1155"/>
    <n v="30"/>
    <x v="0"/>
  </r>
  <r>
    <x v="134"/>
    <s v="C009"/>
    <d v="2026-06-05T00:00:00"/>
    <s v="LPDE"/>
    <n v="649"/>
    <n v="50"/>
    <x v="0"/>
  </r>
  <r>
    <x v="135"/>
    <s v="C008"/>
    <d v="2026-02-26T00:00:00"/>
    <s v="PP"/>
    <n v="1185"/>
    <n v="46"/>
    <x v="0"/>
  </r>
  <r>
    <x v="136"/>
    <s v="C013"/>
    <d v="2026-07-09T00:00:00"/>
    <s v="LPDE"/>
    <n v="532"/>
    <n v="15"/>
    <x v="0"/>
  </r>
  <r>
    <x v="137"/>
    <s v="C023"/>
    <d v="2026-04-16T00:00:00"/>
    <s v="HDPE"/>
    <n v="655"/>
    <n v="9"/>
    <x v="0"/>
  </r>
  <r>
    <x v="138"/>
    <s v="C007"/>
    <d v="2026-06-13T00:00:00"/>
    <s v="PP"/>
    <n v="585"/>
    <n v="10"/>
    <x v="0"/>
  </r>
  <r>
    <x v="139"/>
    <s v="C009"/>
    <d v="2026-02-07T00:00:00"/>
    <s v="LPDE"/>
    <n v="567"/>
    <n v="22"/>
    <x v="0"/>
  </r>
  <r>
    <x v="140"/>
    <s v="C026"/>
    <d v="2026-08-23T00:00:00"/>
    <s v="Mixed"/>
    <n v="1059"/>
    <n v="51"/>
    <x v="0"/>
  </r>
  <r>
    <x v="141"/>
    <s v="C030"/>
    <d v="2026-11-23T00:00:00"/>
    <s v="LPDE"/>
    <n v="200"/>
    <n v="15"/>
    <x v="0"/>
  </r>
  <r>
    <x v="142"/>
    <s v="C028"/>
    <d v="2026-06-04T00:00:00"/>
    <s v="PET"/>
    <n v="607"/>
    <n v="29"/>
    <x v="1"/>
  </r>
  <r>
    <x v="143"/>
    <s v="C017"/>
    <d v="2026-11-20T00:00:00"/>
    <s v="PP"/>
    <n v="1013"/>
    <n v="6"/>
    <x v="1"/>
  </r>
  <r>
    <x v="144"/>
    <s v="C018"/>
    <d v="2026-09-02T00:00:00"/>
    <s v="LPDE"/>
    <n v="1065"/>
    <n v="51"/>
    <x v="0"/>
  </r>
  <r>
    <x v="145"/>
    <s v="C015"/>
    <d v="2026-12-07T00:00:00"/>
    <s v="LPDE"/>
    <n v="571"/>
    <n v="58"/>
    <x v="0"/>
  </r>
  <r>
    <x v="146"/>
    <s v="C006"/>
    <d v="2026-08-25T00:00:00"/>
    <s v="HDPE"/>
    <n v="333"/>
    <n v="54"/>
    <x v="0"/>
  </r>
  <r>
    <x v="147"/>
    <s v="C029"/>
    <d v="2026-12-14T00:00:00"/>
    <s v="HDPE"/>
    <n v="710"/>
    <n v="11"/>
    <x v="0"/>
  </r>
  <r>
    <x v="148"/>
    <s v="C010"/>
    <d v="2026-01-12T00:00:00"/>
    <s v="PP"/>
    <n v="780"/>
    <n v="57"/>
    <x v="0"/>
  </r>
  <r>
    <x v="149"/>
    <s v="C018"/>
    <d v="2026-01-27T00:00:00"/>
    <s v="PP"/>
    <n v="888"/>
    <n v="6"/>
    <x v="0"/>
  </r>
  <r>
    <x v="150"/>
    <s v="C022"/>
    <d v="2026-10-29T00:00:00"/>
    <s v="Mixed"/>
    <n v="1009"/>
    <n v="42"/>
    <x v="0"/>
  </r>
  <r>
    <x v="151"/>
    <s v="C012"/>
    <d v="2026-12-08T00:00:00"/>
    <s v="PET"/>
    <n v="653"/>
    <n v="29"/>
    <x v="1"/>
  </r>
  <r>
    <x v="152"/>
    <s v="C023"/>
    <d v="2026-10-16T00:00:00"/>
    <s v="HDPE"/>
    <n v="304"/>
    <n v="52"/>
    <x v="1"/>
  </r>
  <r>
    <x v="153"/>
    <s v="C022"/>
    <d v="2026-04-30T00:00:00"/>
    <s v="LPDE"/>
    <n v="1074"/>
    <n v="56"/>
    <x v="0"/>
  </r>
  <r>
    <x v="154"/>
    <s v="C022"/>
    <d v="2026-12-16T00:00:00"/>
    <s v="HDPE"/>
    <n v="964"/>
    <n v="28"/>
    <x v="0"/>
  </r>
  <r>
    <x v="155"/>
    <s v="C006"/>
    <d v="2026-06-01T00:00:00"/>
    <s v="PET"/>
    <n v="611"/>
    <n v="58"/>
    <x v="0"/>
  </r>
  <r>
    <x v="156"/>
    <s v="C002"/>
    <d v="2026-10-02T00:00:00"/>
    <s v="Mixed"/>
    <n v="322"/>
    <n v="20"/>
    <x v="0"/>
  </r>
  <r>
    <x v="157"/>
    <s v="C016"/>
    <d v="2026-10-25T00:00:00"/>
    <s v="PP"/>
    <n v="631"/>
    <n v="60"/>
    <x v="0"/>
  </r>
  <r>
    <x v="158"/>
    <s v="C028"/>
    <d v="2026-03-14T00:00:00"/>
    <s v="PET"/>
    <n v="835"/>
    <n v="15"/>
    <x v="0"/>
  </r>
  <r>
    <x v="159"/>
    <s v="C015"/>
    <d v="2026-02-10T00:00:00"/>
    <s v="PET"/>
    <n v="630"/>
    <n v="33"/>
    <x v="0"/>
  </r>
  <r>
    <x v="160"/>
    <s v="C014"/>
    <d v="2026-10-19T00:00:00"/>
    <s v="PP"/>
    <n v="789"/>
    <n v="23"/>
    <x v="0"/>
  </r>
  <r>
    <x v="161"/>
    <s v="C005"/>
    <d v="2026-09-09T00:00:00"/>
    <s v="HDPE"/>
    <n v="848"/>
    <n v="44"/>
    <x v="0"/>
  </r>
  <r>
    <x v="162"/>
    <s v="C012"/>
    <d v="2026-07-31T00:00:00"/>
    <s v="Mixed"/>
    <n v="337"/>
    <n v="58"/>
    <x v="0"/>
  </r>
  <r>
    <x v="163"/>
    <s v="C022"/>
    <d v="2026-11-21T00:00:00"/>
    <s v="PP"/>
    <n v="869"/>
    <n v="22"/>
    <x v="0"/>
  </r>
  <r>
    <x v="164"/>
    <s v="C023"/>
    <d v="2026-06-19T00:00:00"/>
    <s v="Mixed"/>
    <n v="963"/>
    <n v="6"/>
    <x v="0"/>
  </r>
  <r>
    <x v="165"/>
    <s v="C026"/>
    <d v="2026-08-03T00:00:00"/>
    <s v="PET"/>
    <n v="455"/>
    <n v="32"/>
    <x v="0"/>
  </r>
  <r>
    <x v="166"/>
    <s v="C025"/>
    <d v="2026-08-16T00:00:00"/>
    <s v="HDPE"/>
    <n v="497"/>
    <n v="44"/>
    <x v="0"/>
  </r>
  <r>
    <x v="167"/>
    <s v="C016"/>
    <d v="2026-03-09T00:00:00"/>
    <s v="PET"/>
    <n v="518"/>
    <n v="32"/>
    <x v="0"/>
  </r>
  <r>
    <x v="168"/>
    <s v="C022"/>
    <d v="2026-12-02T00:00:00"/>
    <s v="HDPE"/>
    <n v="934"/>
    <n v="16"/>
    <x v="0"/>
  </r>
  <r>
    <x v="169"/>
    <s v="C023"/>
    <d v="2026-11-12T00:00:00"/>
    <s v="HDPE"/>
    <n v="1083"/>
    <n v="48"/>
    <x v="0"/>
  </r>
  <r>
    <x v="170"/>
    <s v="C018"/>
    <d v="2026-12-27T00:00:00"/>
    <s v="PET"/>
    <n v="730"/>
    <n v="8"/>
    <x v="1"/>
  </r>
  <r>
    <x v="171"/>
    <s v="C004"/>
    <d v="2026-05-22T00:00:00"/>
    <s v="PP"/>
    <n v="905"/>
    <n v="39"/>
    <x v="0"/>
  </r>
  <r>
    <x v="172"/>
    <s v="C006"/>
    <d v="2026-03-23T00:00:00"/>
    <s v="Mixed"/>
    <n v="789"/>
    <n v="56"/>
    <x v="0"/>
  </r>
  <r>
    <x v="173"/>
    <s v="C026"/>
    <d v="2026-11-25T00:00:00"/>
    <s v="PP"/>
    <n v="911"/>
    <n v="14"/>
    <x v="0"/>
  </r>
  <r>
    <x v="174"/>
    <s v="C023"/>
    <d v="2026-08-17T00:00:00"/>
    <s v="PET"/>
    <n v="488"/>
    <n v="36"/>
    <x v="0"/>
  </r>
  <r>
    <x v="175"/>
    <s v="C019"/>
    <d v="2026-06-07T00:00:00"/>
    <s v="LPDE"/>
    <n v="1053"/>
    <n v="35"/>
    <x v="0"/>
  </r>
  <r>
    <x v="176"/>
    <s v="C022"/>
    <d v="2026-10-05T00:00:00"/>
    <s v="PET"/>
    <n v="1017"/>
    <n v="44"/>
    <x v="0"/>
  </r>
  <r>
    <x v="177"/>
    <s v="C026"/>
    <d v="2026-05-08T00:00:00"/>
    <s v="HDPE"/>
    <n v="640"/>
    <n v="32"/>
    <x v="0"/>
  </r>
  <r>
    <x v="178"/>
    <s v="C019"/>
    <d v="2026-03-10T00:00:00"/>
    <s v="Mixed"/>
    <n v="976"/>
    <n v="43"/>
    <x v="0"/>
  </r>
  <r>
    <x v="179"/>
    <s v="C016"/>
    <d v="2026-08-02T00:00:00"/>
    <s v="PET"/>
    <n v="976"/>
    <n v="54"/>
    <x v="1"/>
  </r>
  <r>
    <x v="180"/>
    <s v="C030"/>
    <d v="2026-05-10T00:00:00"/>
    <s v="PET"/>
    <n v="819"/>
    <n v="14"/>
    <x v="0"/>
  </r>
  <r>
    <x v="181"/>
    <s v="C028"/>
    <d v="2026-03-01T00:00:00"/>
    <s v="LPDE"/>
    <n v="258"/>
    <n v="22"/>
    <x v="0"/>
  </r>
  <r>
    <x v="182"/>
    <s v="C012"/>
    <d v="2026-05-30T00:00:00"/>
    <s v="PET"/>
    <n v="400"/>
    <n v="23"/>
    <x v="0"/>
  </r>
  <r>
    <x v="183"/>
    <s v="C008"/>
    <d v="2026-04-27T00:00:00"/>
    <s v="PET"/>
    <n v="352"/>
    <n v="55"/>
    <x v="0"/>
  </r>
  <r>
    <x v="184"/>
    <s v="C004"/>
    <d v="2026-08-07T00:00:00"/>
    <s v="LPDE"/>
    <n v="697"/>
    <n v="34"/>
    <x v="0"/>
  </r>
  <r>
    <x v="185"/>
    <s v="C026"/>
    <d v="2026-06-11T00:00:00"/>
    <s v="PET"/>
    <n v="265"/>
    <n v="12"/>
    <x v="0"/>
  </r>
  <r>
    <x v="186"/>
    <s v="C010"/>
    <d v="2026-10-28T00:00:00"/>
    <s v="PP"/>
    <n v="206"/>
    <n v="8"/>
    <x v="0"/>
  </r>
  <r>
    <x v="187"/>
    <s v="C028"/>
    <d v="2026-08-20T00:00:00"/>
    <s v="PP"/>
    <n v="352"/>
    <n v="60"/>
    <x v="0"/>
  </r>
  <r>
    <x v="188"/>
    <s v="C004"/>
    <d v="2026-04-02T00:00:00"/>
    <s v="HDPE"/>
    <n v="803"/>
    <n v="39"/>
    <x v="0"/>
  </r>
  <r>
    <x v="189"/>
    <s v="C026"/>
    <d v="2026-11-20T00:00:00"/>
    <s v="LPDE"/>
    <n v="1038"/>
    <n v="40"/>
    <x v="0"/>
  </r>
  <r>
    <x v="190"/>
    <s v="C010"/>
    <d v="2026-08-16T00:00:00"/>
    <s v="LPDE"/>
    <n v="1035"/>
    <n v="24"/>
    <x v="0"/>
  </r>
  <r>
    <x v="191"/>
    <s v="C021"/>
    <d v="2026-12-08T00:00:00"/>
    <s v="PP"/>
    <n v="1012"/>
    <n v="19"/>
    <x v="0"/>
  </r>
  <r>
    <x v="192"/>
    <s v="C014"/>
    <d v="2026-01-16T00:00:00"/>
    <s v="LPDE"/>
    <n v="595"/>
    <n v="14"/>
    <x v="0"/>
  </r>
  <r>
    <x v="193"/>
    <s v="C006"/>
    <d v="2026-01-15T00:00:00"/>
    <s v="PP"/>
    <n v="941"/>
    <n v="12"/>
    <x v="1"/>
  </r>
  <r>
    <x v="194"/>
    <s v="C022"/>
    <d v="2026-09-25T00:00:00"/>
    <s v="LPDE"/>
    <n v="544"/>
    <n v="37"/>
    <x v="0"/>
  </r>
  <r>
    <x v="195"/>
    <s v="C001"/>
    <d v="2026-01-31T00:00:00"/>
    <s v="HDPE"/>
    <n v="1118"/>
    <n v="14"/>
    <x v="0"/>
  </r>
  <r>
    <x v="196"/>
    <s v="C026"/>
    <d v="2026-08-28T00:00:00"/>
    <s v="Mixed"/>
    <n v="1003"/>
    <n v="60"/>
    <x v="0"/>
  </r>
  <r>
    <x v="197"/>
    <s v="C009"/>
    <d v="2026-03-08T00:00:00"/>
    <s v="HDPE"/>
    <n v="265"/>
    <n v="36"/>
    <x v="0"/>
  </r>
  <r>
    <x v="198"/>
    <s v="C005"/>
    <d v="2026-05-30T00:00:00"/>
    <s v="HDPE"/>
    <n v="1131"/>
    <n v="46"/>
    <x v="0"/>
  </r>
  <r>
    <x v="199"/>
    <s v="C006"/>
    <d v="2026-06-26T00:00:00"/>
    <s v="PP"/>
    <n v="1054"/>
    <n v="9"/>
    <x v="0"/>
  </r>
  <r>
    <x v="200"/>
    <s v="C007"/>
    <d v="2026-05-28T00:00:00"/>
    <s v="HDPE"/>
    <n v="1013"/>
    <n v="25"/>
    <x v="0"/>
  </r>
  <r>
    <x v="201"/>
    <s v="C009"/>
    <d v="2026-04-28T00:00:00"/>
    <s v="PP"/>
    <n v="522"/>
    <n v="48"/>
    <x v="0"/>
  </r>
  <r>
    <x v="202"/>
    <s v="C021"/>
    <d v="2026-12-31T00:00:00"/>
    <s v="Mixed"/>
    <n v="636"/>
    <n v="24"/>
    <x v="0"/>
  </r>
  <r>
    <x v="203"/>
    <s v="C003"/>
    <d v="2026-05-08T00:00:00"/>
    <s v="PET"/>
    <n v="831"/>
    <n v="32"/>
    <x v="0"/>
  </r>
  <r>
    <x v="204"/>
    <s v="C007"/>
    <d v="2026-04-15T00:00:00"/>
    <s v="PP"/>
    <n v="398"/>
    <n v="53"/>
    <x v="0"/>
  </r>
  <r>
    <x v="205"/>
    <s v="C008"/>
    <d v="2026-07-15T00:00:00"/>
    <s v="Mixed"/>
    <n v="1046"/>
    <n v="39"/>
    <x v="0"/>
  </r>
  <r>
    <x v="206"/>
    <s v="C010"/>
    <d v="2026-08-28T00:00:00"/>
    <s v="LPDE"/>
    <n v="498"/>
    <n v="7"/>
    <x v="0"/>
  </r>
  <r>
    <x v="207"/>
    <s v="C011"/>
    <d v="2026-07-01T00:00:00"/>
    <s v="LPDE"/>
    <n v="1183"/>
    <n v="16"/>
    <x v="0"/>
  </r>
  <r>
    <x v="208"/>
    <s v="C007"/>
    <d v="2026-11-28T00:00:00"/>
    <s v="LPDE"/>
    <n v="467"/>
    <n v="57"/>
    <x v="1"/>
  </r>
  <r>
    <x v="209"/>
    <s v="C023"/>
    <d v="2026-06-21T00:00:00"/>
    <s v="LPDE"/>
    <n v="945"/>
    <n v="27"/>
    <x v="0"/>
  </r>
  <r>
    <x v="210"/>
    <s v="C003"/>
    <d v="2026-12-04T00:00:00"/>
    <s v="PP"/>
    <n v="1198"/>
    <n v="51"/>
    <x v="1"/>
  </r>
  <r>
    <x v="211"/>
    <s v="C018"/>
    <d v="2026-09-25T00:00:00"/>
    <s v="PP"/>
    <n v="919"/>
    <n v="60"/>
    <x v="0"/>
  </r>
  <r>
    <x v="212"/>
    <s v="C013"/>
    <d v="2026-02-03T00:00:00"/>
    <s v="PET"/>
    <n v="246"/>
    <n v="13"/>
    <x v="0"/>
  </r>
  <r>
    <x v="213"/>
    <s v="C003"/>
    <d v="2026-12-23T00:00:00"/>
    <s v="PP"/>
    <n v="211"/>
    <n v="52"/>
    <x v="1"/>
  </r>
  <r>
    <x v="214"/>
    <s v="C023"/>
    <d v="2026-08-21T00:00:00"/>
    <s v="Mixed"/>
    <n v="1174"/>
    <n v="11"/>
    <x v="0"/>
  </r>
  <r>
    <x v="215"/>
    <s v="C007"/>
    <d v="2026-08-04T00:00:00"/>
    <s v="PET"/>
    <n v="1174"/>
    <n v="15"/>
    <x v="0"/>
  </r>
  <r>
    <x v="216"/>
    <s v="C024"/>
    <d v="2026-09-12T00:00:00"/>
    <s v="PET"/>
    <n v="1187"/>
    <n v="7"/>
    <x v="0"/>
  </r>
  <r>
    <x v="217"/>
    <s v="C018"/>
    <d v="2026-04-07T00:00:00"/>
    <s v="PET"/>
    <n v="866"/>
    <n v="10"/>
    <x v="1"/>
  </r>
  <r>
    <x v="218"/>
    <s v="C015"/>
    <d v="2026-02-08T00:00:00"/>
    <s v="Mixed"/>
    <n v="660"/>
    <n v="11"/>
    <x v="0"/>
  </r>
  <r>
    <x v="219"/>
    <s v="C028"/>
    <d v="2026-11-23T00:00:00"/>
    <s v="Mixed"/>
    <n v="433"/>
    <n v="39"/>
    <x v="0"/>
  </r>
  <r>
    <x v="220"/>
    <s v="C011"/>
    <d v="2026-06-28T00:00:00"/>
    <s v="PET"/>
    <n v="258"/>
    <n v="38"/>
    <x v="0"/>
  </r>
  <r>
    <x v="221"/>
    <s v="C030"/>
    <d v="2026-05-03T00:00:00"/>
    <s v="PET"/>
    <n v="765"/>
    <n v="24"/>
    <x v="0"/>
  </r>
  <r>
    <x v="222"/>
    <s v="C025"/>
    <d v="2026-05-03T00:00:00"/>
    <s v="LPDE"/>
    <n v="260"/>
    <n v="31"/>
    <x v="0"/>
  </r>
  <r>
    <x v="223"/>
    <s v="C030"/>
    <d v="2026-09-26T00:00:00"/>
    <s v="PET"/>
    <n v="771"/>
    <n v="48"/>
    <x v="0"/>
  </r>
  <r>
    <x v="224"/>
    <s v="C025"/>
    <d v="2026-06-15T00:00:00"/>
    <s v="Mixed"/>
    <n v="672"/>
    <n v="23"/>
    <x v="1"/>
  </r>
  <r>
    <x v="225"/>
    <s v="C019"/>
    <d v="2026-08-20T00:00:00"/>
    <s v="HDPE"/>
    <n v="1114"/>
    <n v="22"/>
    <x v="0"/>
  </r>
  <r>
    <x v="226"/>
    <s v="C002"/>
    <d v="2026-03-10T00:00:00"/>
    <s v="HDPE"/>
    <n v="852"/>
    <n v="7"/>
    <x v="1"/>
  </r>
  <r>
    <x v="227"/>
    <s v="C020"/>
    <d v="2026-08-06T00:00:00"/>
    <s v="Mixed"/>
    <n v="1167"/>
    <n v="28"/>
    <x v="0"/>
  </r>
  <r>
    <x v="228"/>
    <s v="C027"/>
    <d v="2026-09-25T00:00:00"/>
    <s v="HDPE"/>
    <n v="983"/>
    <n v="54"/>
    <x v="0"/>
  </r>
  <r>
    <x v="229"/>
    <s v="C007"/>
    <d v="2026-11-12T00:00:00"/>
    <s v="LPDE"/>
    <n v="705"/>
    <n v="35"/>
    <x v="0"/>
  </r>
  <r>
    <x v="230"/>
    <s v="C016"/>
    <d v="2026-01-29T00:00:00"/>
    <s v="PP"/>
    <n v="690"/>
    <n v="26"/>
    <x v="0"/>
  </r>
  <r>
    <x v="231"/>
    <s v="C019"/>
    <d v="2026-08-19T00:00:00"/>
    <s v="PP"/>
    <n v="286"/>
    <n v="37"/>
    <x v="0"/>
  </r>
  <r>
    <x v="232"/>
    <s v="C020"/>
    <d v="2026-06-27T00:00:00"/>
    <s v="HDPE"/>
    <n v="490"/>
    <n v="22"/>
    <x v="0"/>
  </r>
  <r>
    <x v="233"/>
    <s v="C019"/>
    <d v="2026-04-29T00:00:00"/>
    <s v="PET"/>
    <n v="1083"/>
    <n v="44"/>
    <x v="0"/>
  </r>
  <r>
    <x v="234"/>
    <s v="C001"/>
    <d v="2026-11-17T00:00:00"/>
    <s v="PP"/>
    <n v="747"/>
    <n v="9"/>
    <x v="0"/>
  </r>
  <r>
    <x v="235"/>
    <s v="C015"/>
    <d v="2026-12-31T00:00:00"/>
    <s v="PET"/>
    <n v="653"/>
    <n v="45"/>
    <x v="0"/>
  </r>
  <r>
    <x v="236"/>
    <s v="C025"/>
    <d v="2026-01-12T00:00:00"/>
    <s v="PET"/>
    <n v="743"/>
    <n v="36"/>
    <x v="0"/>
  </r>
  <r>
    <x v="237"/>
    <s v="C029"/>
    <d v="2026-07-02T00:00:00"/>
    <s v="LPDE"/>
    <n v="732"/>
    <n v="10"/>
    <x v="0"/>
  </r>
  <r>
    <x v="238"/>
    <s v="C005"/>
    <d v="2026-10-16T00:00:00"/>
    <s v="LPDE"/>
    <n v="1046"/>
    <n v="23"/>
    <x v="0"/>
  </r>
  <r>
    <x v="239"/>
    <s v="C026"/>
    <d v="2026-11-16T00:00:00"/>
    <s v="Mixed"/>
    <n v="1023"/>
    <n v="16"/>
    <x v="1"/>
  </r>
  <r>
    <x v="240"/>
    <s v="C022"/>
    <d v="2026-07-07T00:00:00"/>
    <s v="Mixed"/>
    <n v="765"/>
    <n v="24"/>
    <x v="0"/>
  </r>
  <r>
    <x v="241"/>
    <s v="C017"/>
    <d v="2026-07-23T00:00:00"/>
    <s v="HDPE"/>
    <n v="438"/>
    <n v="8"/>
    <x v="0"/>
  </r>
  <r>
    <x v="242"/>
    <s v="C003"/>
    <d v="2026-11-11T00:00:00"/>
    <s v="Mixed"/>
    <n v="1008"/>
    <n v="55"/>
    <x v="0"/>
  </r>
  <r>
    <x v="243"/>
    <s v="C004"/>
    <d v="2026-08-02T00:00:00"/>
    <s v="PP"/>
    <n v="639"/>
    <n v="14"/>
    <x v="0"/>
  </r>
  <r>
    <x v="244"/>
    <s v="C011"/>
    <d v="2026-08-08T00:00:00"/>
    <s v="PP"/>
    <n v="519"/>
    <n v="19"/>
    <x v="0"/>
  </r>
  <r>
    <x v="245"/>
    <s v="C024"/>
    <d v="2026-06-08T00:00:00"/>
    <s v="PET"/>
    <n v="529"/>
    <n v="14"/>
    <x v="0"/>
  </r>
  <r>
    <x v="246"/>
    <s v="C001"/>
    <d v="2026-04-15T00:00:00"/>
    <s v="HDPE"/>
    <n v="681"/>
    <n v="60"/>
    <x v="0"/>
  </r>
  <r>
    <x v="247"/>
    <s v="C018"/>
    <d v="2026-11-14T00:00:00"/>
    <s v="HDPE"/>
    <n v="404"/>
    <n v="55"/>
    <x v="0"/>
  </r>
  <r>
    <x v="248"/>
    <s v="C013"/>
    <d v="2026-04-29T00:00:00"/>
    <s v="HDPE"/>
    <n v="785"/>
    <n v="29"/>
    <x v="0"/>
  </r>
  <r>
    <x v="249"/>
    <s v="C014"/>
    <d v="2026-03-19T00:00:00"/>
    <s v="PP"/>
    <n v="1190"/>
    <n v="35"/>
    <x v="0"/>
  </r>
  <r>
    <x v="250"/>
    <s v="C004"/>
    <d v="2026-01-08T00:00:00"/>
    <s v="HDPE"/>
    <n v="1031"/>
    <n v="39"/>
    <x v="0"/>
  </r>
  <r>
    <x v="251"/>
    <s v="C011"/>
    <d v="2026-07-14T00:00:00"/>
    <s v="HDPE"/>
    <n v="704"/>
    <n v="49"/>
    <x v="0"/>
  </r>
  <r>
    <x v="252"/>
    <s v="C019"/>
    <d v="2026-12-03T00:00:00"/>
    <s v="Mixed"/>
    <n v="428"/>
    <n v="20"/>
    <x v="0"/>
  </r>
  <r>
    <x v="253"/>
    <s v="C019"/>
    <d v="2026-01-11T00:00:00"/>
    <s v="PP"/>
    <n v="523"/>
    <n v="48"/>
    <x v="0"/>
  </r>
  <r>
    <x v="254"/>
    <s v="C030"/>
    <d v="2026-05-09T00:00:00"/>
    <s v="HDPE"/>
    <n v="724"/>
    <n v="47"/>
    <x v="0"/>
  </r>
  <r>
    <x v="255"/>
    <s v="C005"/>
    <d v="2026-11-18T00:00:00"/>
    <s v="PP"/>
    <n v="1058"/>
    <n v="6"/>
    <x v="1"/>
  </r>
  <r>
    <x v="256"/>
    <s v="C009"/>
    <d v="2026-11-10T00:00:00"/>
    <s v="Mixed"/>
    <n v="607"/>
    <n v="21"/>
    <x v="0"/>
  </r>
  <r>
    <x v="257"/>
    <s v="C014"/>
    <d v="2026-05-08T00:00:00"/>
    <s v="PP"/>
    <n v="821"/>
    <n v="42"/>
    <x v="0"/>
  </r>
  <r>
    <x v="258"/>
    <s v="C027"/>
    <d v="2026-08-27T00:00:00"/>
    <s v="PET"/>
    <n v="1052"/>
    <n v="11"/>
    <x v="1"/>
  </r>
  <r>
    <x v="259"/>
    <s v="C028"/>
    <d v="2026-10-20T00:00:00"/>
    <s v="Mixed"/>
    <n v="287"/>
    <n v="26"/>
    <x v="0"/>
  </r>
  <r>
    <x v="260"/>
    <s v="C008"/>
    <d v="2026-04-25T00:00:00"/>
    <s v="Mixed"/>
    <n v="329"/>
    <n v="29"/>
    <x v="0"/>
  </r>
  <r>
    <x v="261"/>
    <s v="C015"/>
    <d v="2026-01-11T00:00:00"/>
    <s v="LPDE"/>
    <n v="1083"/>
    <n v="47"/>
    <x v="0"/>
  </r>
  <r>
    <x v="262"/>
    <s v="C017"/>
    <d v="2026-08-31T00:00:00"/>
    <s v="PET"/>
    <n v="965"/>
    <n v="24"/>
    <x v="1"/>
  </r>
  <r>
    <x v="263"/>
    <s v="C029"/>
    <d v="2026-04-19T00:00:00"/>
    <s v="HDPE"/>
    <n v="885"/>
    <n v="20"/>
    <x v="0"/>
  </r>
  <r>
    <x v="264"/>
    <s v="C024"/>
    <d v="2026-09-20T00:00:00"/>
    <s v="PET"/>
    <n v="1165"/>
    <n v="56"/>
    <x v="0"/>
  </r>
  <r>
    <x v="265"/>
    <s v="C012"/>
    <d v="2026-12-07T00:00:00"/>
    <s v="PP"/>
    <n v="205"/>
    <n v="7"/>
    <x v="0"/>
  </r>
  <r>
    <x v="266"/>
    <s v="C016"/>
    <d v="2026-12-04T00:00:00"/>
    <s v="HDPE"/>
    <n v="485"/>
    <n v="22"/>
    <x v="0"/>
  </r>
  <r>
    <x v="267"/>
    <s v="C030"/>
    <d v="2026-05-31T00:00:00"/>
    <s v="LPDE"/>
    <n v="517"/>
    <n v="25"/>
    <x v="0"/>
  </r>
  <r>
    <x v="268"/>
    <s v="C005"/>
    <d v="2026-08-03T00:00:00"/>
    <s v="HDPE"/>
    <n v="889"/>
    <n v="53"/>
    <x v="0"/>
  </r>
  <r>
    <x v="269"/>
    <s v="C027"/>
    <d v="2026-07-05T00:00:00"/>
    <s v="Mixed"/>
    <n v="640"/>
    <n v="56"/>
    <x v="0"/>
  </r>
  <r>
    <x v="270"/>
    <s v="C022"/>
    <d v="2026-04-27T00:00:00"/>
    <s v="PP"/>
    <n v="872"/>
    <n v="53"/>
    <x v="0"/>
  </r>
  <r>
    <x v="271"/>
    <s v="C014"/>
    <d v="2026-09-21T00:00:00"/>
    <s v="Mixed"/>
    <n v="1180"/>
    <n v="53"/>
    <x v="1"/>
  </r>
  <r>
    <x v="272"/>
    <s v="C025"/>
    <d v="2026-09-14T00:00:00"/>
    <s v="LPDE"/>
    <n v="1102"/>
    <n v="15"/>
    <x v="0"/>
  </r>
  <r>
    <x v="273"/>
    <s v="C014"/>
    <d v="2026-04-18T00:00:00"/>
    <s v="Mixed"/>
    <n v="527"/>
    <n v="39"/>
    <x v="0"/>
  </r>
  <r>
    <x v="274"/>
    <s v="C012"/>
    <d v="2026-07-23T00:00:00"/>
    <s v="Mixed"/>
    <n v="787"/>
    <n v="22"/>
    <x v="0"/>
  </r>
  <r>
    <x v="275"/>
    <s v="C018"/>
    <d v="2026-08-01T00:00:00"/>
    <s v="LPDE"/>
    <n v="1171"/>
    <n v="28"/>
    <x v="0"/>
  </r>
  <r>
    <x v="276"/>
    <s v="C010"/>
    <d v="2026-07-18T00:00:00"/>
    <s v="Mixed"/>
    <n v="349"/>
    <n v="24"/>
    <x v="0"/>
  </r>
  <r>
    <x v="277"/>
    <s v="C010"/>
    <d v="2026-12-11T00:00:00"/>
    <s v="PET"/>
    <n v="394"/>
    <n v="54"/>
    <x v="0"/>
  </r>
  <r>
    <x v="278"/>
    <s v="C022"/>
    <d v="2026-05-10T00:00:00"/>
    <s v="HDPE"/>
    <n v="916"/>
    <n v="44"/>
    <x v="0"/>
  </r>
  <r>
    <x v="279"/>
    <s v="C002"/>
    <d v="2026-01-15T00:00:00"/>
    <s v="PP"/>
    <n v="805"/>
    <n v="22"/>
    <x v="0"/>
  </r>
  <r>
    <x v="280"/>
    <s v="C007"/>
    <d v="2026-10-02T00:00:00"/>
    <s v="PP"/>
    <n v="816"/>
    <n v="21"/>
    <x v="0"/>
  </r>
  <r>
    <x v="281"/>
    <s v="C026"/>
    <d v="2026-11-24T00:00:00"/>
    <s v="PET"/>
    <n v="1078"/>
    <n v="5"/>
    <x v="0"/>
  </r>
  <r>
    <x v="282"/>
    <s v="C015"/>
    <d v="2026-08-02T00:00:00"/>
    <s v="PP"/>
    <n v="1058"/>
    <n v="27"/>
    <x v="0"/>
  </r>
  <r>
    <x v="283"/>
    <s v="C006"/>
    <d v="2026-12-15T00:00:00"/>
    <s v="HDPE"/>
    <n v="464"/>
    <n v="22"/>
    <x v="0"/>
  </r>
  <r>
    <x v="284"/>
    <s v="C018"/>
    <d v="2026-06-19T00:00:00"/>
    <s v="Mixed"/>
    <n v="970"/>
    <n v="40"/>
    <x v="0"/>
  </r>
  <r>
    <x v="285"/>
    <s v="C017"/>
    <d v="2026-06-26T00:00:00"/>
    <s v="PET"/>
    <n v="391"/>
    <n v="13"/>
    <x v="0"/>
  </r>
  <r>
    <x v="286"/>
    <s v="C009"/>
    <d v="2026-11-14T00:00:00"/>
    <s v="PET"/>
    <n v="235"/>
    <n v="28"/>
    <x v="0"/>
  </r>
  <r>
    <x v="287"/>
    <s v="C030"/>
    <d v="2026-02-06T00:00:00"/>
    <s v="HDPE"/>
    <n v="506"/>
    <n v="8"/>
    <x v="0"/>
  </r>
  <r>
    <x v="288"/>
    <s v="C019"/>
    <d v="2026-07-14T00:00:00"/>
    <s v="PP"/>
    <n v="659"/>
    <n v="55"/>
    <x v="0"/>
  </r>
  <r>
    <x v="289"/>
    <s v="C007"/>
    <d v="2026-02-22T00:00:00"/>
    <s v="PET"/>
    <n v="481"/>
    <n v="52"/>
    <x v="0"/>
  </r>
  <r>
    <x v="290"/>
    <s v="C007"/>
    <d v="2026-05-01T00:00:00"/>
    <s v="LPDE"/>
    <n v="1077"/>
    <n v="44"/>
    <x v="0"/>
  </r>
  <r>
    <x v="291"/>
    <s v="C004"/>
    <d v="2026-10-15T00:00:00"/>
    <s v="PP"/>
    <n v="215"/>
    <n v="27"/>
    <x v="0"/>
  </r>
  <r>
    <x v="292"/>
    <s v="C018"/>
    <d v="2026-04-09T00:00:00"/>
    <s v="LPDE"/>
    <n v="829"/>
    <n v="48"/>
    <x v="0"/>
  </r>
  <r>
    <x v="293"/>
    <s v="C023"/>
    <d v="2026-10-10T00:00:00"/>
    <s v="LPDE"/>
    <n v="376"/>
    <n v="39"/>
    <x v="0"/>
  </r>
  <r>
    <x v="294"/>
    <s v="C010"/>
    <d v="2026-10-12T00:00:00"/>
    <s v="Mixed"/>
    <n v="1154"/>
    <n v="50"/>
    <x v="1"/>
  </r>
  <r>
    <x v="295"/>
    <s v="C001"/>
    <d v="2026-01-16T00:00:00"/>
    <s v="HDPE"/>
    <n v="1185"/>
    <n v="55"/>
    <x v="0"/>
  </r>
  <r>
    <x v="296"/>
    <s v="C016"/>
    <d v="2026-04-07T00:00:00"/>
    <s v="Mixed"/>
    <n v="370"/>
    <n v="29"/>
    <x v="0"/>
  </r>
  <r>
    <x v="297"/>
    <s v="C012"/>
    <d v="2026-01-10T00:00:00"/>
    <s v="HDPE"/>
    <n v="230"/>
    <n v="36"/>
    <x v="0"/>
  </r>
  <r>
    <x v="298"/>
    <s v="C027"/>
    <d v="2026-09-20T00:00:00"/>
    <s v="Mixed"/>
    <n v="920"/>
    <n v="23"/>
    <x v="0"/>
  </r>
  <r>
    <x v="299"/>
    <s v="C030"/>
    <d v="2026-10-25T00:00:00"/>
    <s v="LPDE"/>
    <n v="400"/>
    <n v="20"/>
    <x v="0"/>
  </r>
  <r>
    <x v="300"/>
    <s v="C030"/>
    <d v="2026-08-10T00:00:00"/>
    <s v="PET"/>
    <n v="354"/>
    <n v="29"/>
    <x v="0"/>
  </r>
  <r>
    <x v="301"/>
    <s v="C026"/>
    <d v="2026-01-26T00:00:00"/>
    <s v="HDPE"/>
    <n v="563"/>
    <n v="13"/>
    <x v="0"/>
  </r>
  <r>
    <x v="302"/>
    <s v="C003"/>
    <d v="2026-04-22T00:00:00"/>
    <s v="PP"/>
    <n v="268"/>
    <n v="23"/>
    <x v="0"/>
  </r>
  <r>
    <x v="303"/>
    <s v="C002"/>
    <d v="2026-01-02T00:00:00"/>
    <s v="PP"/>
    <n v="865"/>
    <n v="13"/>
    <x v="0"/>
  </r>
  <r>
    <x v="304"/>
    <s v="C025"/>
    <d v="2026-01-30T00:00:00"/>
    <s v="PET"/>
    <n v="1008"/>
    <n v="16"/>
    <x v="0"/>
  </r>
  <r>
    <x v="305"/>
    <s v="C001"/>
    <d v="2026-02-15T00:00:00"/>
    <s v="HDPE"/>
    <n v="882"/>
    <n v="24"/>
    <x v="0"/>
  </r>
  <r>
    <x v="306"/>
    <s v="C030"/>
    <d v="2026-01-21T00:00:00"/>
    <s v="LPDE"/>
    <n v="591"/>
    <n v="44"/>
    <x v="0"/>
  </r>
  <r>
    <x v="307"/>
    <s v="C027"/>
    <d v="2026-06-08T00:00:00"/>
    <s v="LPDE"/>
    <n v="207"/>
    <n v="19"/>
    <x v="0"/>
  </r>
  <r>
    <x v="308"/>
    <s v="C013"/>
    <d v="2026-08-22T00:00:00"/>
    <s v="LPDE"/>
    <n v="905"/>
    <n v="53"/>
    <x v="0"/>
  </r>
  <r>
    <x v="309"/>
    <s v="C024"/>
    <d v="2026-07-12T00:00:00"/>
    <s v="PET"/>
    <n v="258"/>
    <n v="60"/>
    <x v="1"/>
  </r>
  <r>
    <x v="310"/>
    <s v="C023"/>
    <d v="2026-04-25T00:00:00"/>
    <s v="LPDE"/>
    <n v="470"/>
    <n v="36"/>
    <x v="0"/>
  </r>
  <r>
    <x v="311"/>
    <s v="C025"/>
    <d v="2026-11-02T00:00:00"/>
    <s v="LPDE"/>
    <n v="807"/>
    <n v="22"/>
    <x v="0"/>
  </r>
  <r>
    <x v="312"/>
    <s v="C026"/>
    <d v="2026-11-16T00:00:00"/>
    <s v="PP"/>
    <n v="245"/>
    <n v="55"/>
    <x v="0"/>
  </r>
  <r>
    <x v="313"/>
    <s v="C005"/>
    <d v="2026-07-28T00:00:00"/>
    <s v="Mixed"/>
    <n v="1195"/>
    <n v="60"/>
    <x v="0"/>
  </r>
  <r>
    <x v="314"/>
    <s v="C007"/>
    <d v="2026-07-02T00:00:00"/>
    <s v="LPDE"/>
    <n v="475"/>
    <n v="18"/>
    <x v="0"/>
  </r>
  <r>
    <x v="315"/>
    <s v="C002"/>
    <d v="2026-06-01T00:00:00"/>
    <s v="LPDE"/>
    <n v="394"/>
    <n v="32"/>
    <x v="0"/>
  </r>
  <r>
    <x v="316"/>
    <s v="C028"/>
    <d v="2026-08-02T00:00:00"/>
    <s v="PET"/>
    <n v="997"/>
    <n v="49"/>
    <x v="1"/>
  </r>
  <r>
    <x v="317"/>
    <s v="C013"/>
    <d v="2026-12-07T00:00:00"/>
    <s v="PP"/>
    <n v="324"/>
    <n v="25"/>
    <x v="0"/>
  </r>
  <r>
    <x v="318"/>
    <s v="C015"/>
    <d v="2026-04-22T00:00:00"/>
    <s v="PET"/>
    <n v="284"/>
    <n v="60"/>
    <x v="0"/>
  </r>
  <r>
    <x v="319"/>
    <s v="C003"/>
    <d v="2026-06-24T00:00:00"/>
    <s v="Mixed"/>
    <n v="1000"/>
    <n v="7"/>
    <x v="0"/>
  </r>
  <r>
    <x v="320"/>
    <s v="C027"/>
    <d v="2026-09-19T00:00:00"/>
    <s v="PP"/>
    <n v="887"/>
    <n v="11"/>
    <x v="0"/>
  </r>
  <r>
    <x v="321"/>
    <s v="C003"/>
    <d v="2026-05-13T00:00:00"/>
    <s v="LPDE"/>
    <n v="583"/>
    <n v="47"/>
    <x v="0"/>
  </r>
  <r>
    <x v="322"/>
    <s v="C002"/>
    <d v="2026-10-16T00:00:00"/>
    <s v="PP"/>
    <n v="464"/>
    <n v="23"/>
    <x v="0"/>
  </r>
  <r>
    <x v="323"/>
    <s v="C011"/>
    <d v="2026-04-11T00:00:00"/>
    <s v="Mixed"/>
    <n v="817"/>
    <n v="12"/>
    <x v="0"/>
  </r>
  <r>
    <x v="324"/>
    <s v="C005"/>
    <d v="2026-09-16T00:00:00"/>
    <s v="PP"/>
    <n v="256"/>
    <n v="49"/>
    <x v="0"/>
  </r>
  <r>
    <x v="325"/>
    <s v="C019"/>
    <d v="2026-05-04T00:00:00"/>
    <s v="PET"/>
    <n v="594"/>
    <n v="48"/>
    <x v="0"/>
  </r>
  <r>
    <x v="326"/>
    <s v="C028"/>
    <d v="2026-09-22T00:00:00"/>
    <s v="LPDE"/>
    <n v="433"/>
    <n v="29"/>
    <x v="0"/>
  </r>
  <r>
    <x v="327"/>
    <s v="C029"/>
    <d v="2026-09-07T00:00:00"/>
    <s v="HDPE"/>
    <n v="506"/>
    <n v="6"/>
    <x v="0"/>
  </r>
  <r>
    <x v="328"/>
    <s v="C019"/>
    <d v="2026-02-24T00:00:00"/>
    <s v="HDPE"/>
    <n v="485"/>
    <n v="23"/>
    <x v="0"/>
  </r>
  <r>
    <x v="329"/>
    <s v="C005"/>
    <d v="2026-05-09T00:00:00"/>
    <s v="LPDE"/>
    <n v="464"/>
    <n v="30"/>
    <x v="0"/>
  </r>
  <r>
    <x v="330"/>
    <s v="C004"/>
    <d v="2026-05-02T00:00:00"/>
    <s v="LPDE"/>
    <n v="1148"/>
    <n v="54"/>
    <x v="0"/>
  </r>
  <r>
    <x v="331"/>
    <s v="C015"/>
    <d v="2026-04-13T00:00:00"/>
    <s v="Mixed"/>
    <n v="941"/>
    <n v="12"/>
    <x v="0"/>
  </r>
  <r>
    <x v="332"/>
    <s v="C005"/>
    <d v="2026-09-10T00:00:00"/>
    <s v="Mixed"/>
    <n v="274"/>
    <n v="14"/>
    <x v="0"/>
  </r>
  <r>
    <x v="333"/>
    <s v="C018"/>
    <d v="2026-05-08T00:00:00"/>
    <s v="Mixed"/>
    <n v="598"/>
    <n v="23"/>
    <x v="0"/>
  </r>
  <r>
    <x v="334"/>
    <s v="C025"/>
    <d v="2026-01-29T00:00:00"/>
    <s v="Mixed"/>
    <n v="1035"/>
    <n v="57"/>
    <x v="0"/>
  </r>
  <r>
    <x v="335"/>
    <s v="C022"/>
    <d v="2026-04-21T00:00:00"/>
    <s v="Mixed"/>
    <n v="410"/>
    <n v="15"/>
    <x v="0"/>
  </r>
  <r>
    <x v="336"/>
    <s v="C015"/>
    <d v="2026-03-29T00:00:00"/>
    <s v="PP"/>
    <n v="1193"/>
    <n v="16"/>
    <x v="0"/>
  </r>
  <r>
    <x v="337"/>
    <s v="C005"/>
    <d v="2026-08-17T00:00:00"/>
    <s v="PP"/>
    <n v="342"/>
    <n v="5"/>
    <x v="0"/>
  </r>
  <r>
    <x v="338"/>
    <s v="C027"/>
    <d v="2026-04-19T00:00:00"/>
    <s v="Mixed"/>
    <n v="222"/>
    <n v="28"/>
    <x v="0"/>
  </r>
  <r>
    <x v="339"/>
    <s v="C020"/>
    <d v="2026-12-07T00:00:00"/>
    <s v="PP"/>
    <n v="622"/>
    <n v="20"/>
    <x v="0"/>
  </r>
  <r>
    <x v="340"/>
    <s v="C029"/>
    <d v="2026-01-09T00:00:00"/>
    <s v="Mixed"/>
    <n v="270"/>
    <n v="51"/>
    <x v="0"/>
  </r>
  <r>
    <x v="341"/>
    <s v="C002"/>
    <d v="2026-04-17T00:00:00"/>
    <s v="LPDE"/>
    <n v="942"/>
    <n v="14"/>
    <x v="1"/>
  </r>
  <r>
    <x v="342"/>
    <s v="C025"/>
    <d v="2026-05-19T00:00:00"/>
    <s v="LPDE"/>
    <n v="712"/>
    <n v="30"/>
    <x v="0"/>
  </r>
  <r>
    <x v="343"/>
    <s v="C025"/>
    <d v="2026-07-24T00:00:00"/>
    <s v="PET"/>
    <n v="568"/>
    <n v="21"/>
    <x v="0"/>
  </r>
  <r>
    <x v="344"/>
    <s v="C020"/>
    <d v="2026-05-09T00:00:00"/>
    <s v="Mixed"/>
    <n v="1052"/>
    <n v="34"/>
    <x v="1"/>
  </r>
  <r>
    <x v="345"/>
    <s v="C023"/>
    <d v="2026-10-03T00:00:00"/>
    <s v="Mixed"/>
    <n v="426"/>
    <n v="30"/>
    <x v="0"/>
  </r>
  <r>
    <x v="346"/>
    <s v="C010"/>
    <d v="2026-05-24T00:00:00"/>
    <s v="Mixed"/>
    <n v="586"/>
    <n v="54"/>
    <x v="0"/>
  </r>
  <r>
    <x v="347"/>
    <s v="C027"/>
    <d v="2026-12-20T00:00:00"/>
    <s v="LPDE"/>
    <n v="877"/>
    <n v="26"/>
    <x v="0"/>
  </r>
  <r>
    <x v="348"/>
    <s v="C027"/>
    <d v="2026-11-20T00:00:00"/>
    <s v="PP"/>
    <n v="996"/>
    <n v="22"/>
    <x v="0"/>
  </r>
  <r>
    <x v="349"/>
    <s v="C008"/>
    <d v="2026-07-03T00:00:00"/>
    <s v="LPDE"/>
    <n v="793"/>
    <n v="15"/>
    <x v="0"/>
  </r>
  <r>
    <x v="350"/>
    <s v="C020"/>
    <d v="2026-03-22T00:00:00"/>
    <s v="LPDE"/>
    <n v="681"/>
    <n v="59"/>
    <x v="0"/>
  </r>
  <r>
    <x v="351"/>
    <s v="C025"/>
    <d v="2026-09-14T00:00:00"/>
    <s v="HDPE"/>
    <n v="827"/>
    <n v="19"/>
    <x v="0"/>
  </r>
  <r>
    <x v="352"/>
    <s v="C030"/>
    <d v="2026-09-24T00:00:00"/>
    <s v="LPDE"/>
    <n v="314"/>
    <n v="57"/>
    <x v="0"/>
  </r>
  <r>
    <x v="353"/>
    <s v="C003"/>
    <d v="2026-04-14T00:00:00"/>
    <s v="Mixed"/>
    <n v="1054"/>
    <n v="23"/>
    <x v="0"/>
  </r>
  <r>
    <x v="354"/>
    <s v="C004"/>
    <d v="2026-02-02T00:00:00"/>
    <s v="LPDE"/>
    <n v="267"/>
    <n v="20"/>
    <x v="0"/>
  </r>
  <r>
    <x v="355"/>
    <s v="C018"/>
    <d v="2026-07-15T00:00:00"/>
    <s v="HDPE"/>
    <n v="528"/>
    <n v="14"/>
    <x v="0"/>
  </r>
  <r>
    <x v="356"/>
    <s v="C010"/>
    <d v="2026-05-01T00:00:00"/>
    <s v="PET"/>
    <n v="537"/>
    <n v="41"/>
    <x v="0"/>
  </r>
  <r>
    <x v="357"/>
    <s v="C018"/>
    <d v="2026-03-25T00:00:00"/>
    <s v="Mixed"/>
    <n v="877"/>
    <n v="32"/>
    <x v="0"/>
  </r>
  <r>
    <x v="358"/>
    <s v="C026"/>
    <d v="2026-01-29T00:00:00"/>
    <s v="LPDE"/>
    <n v="211"/>
    <n v="50"/>
    <x v="0"/>
  </r>
  <r>
    <x v="359"/>
    <s v="C003"/>
    <d v="2026-06-12T00:00:00"/>
    <s v="Mixed"/>
    <n v="715"/>
    <n v="15"/>
    <x v="0"/>
  </r>
  <r>
    <x v="360"/>
    <s v="C019"/>
    <d v="2026-05-12T00:00:00"/>
    <s v="HDPE"/>
    <n v="1017"/>
    <n v="15"/>
    <x v="0"/>
  </r>
  <r>
    <x v="361"/>
    <s v="C017"/>
    <d v="2026-05-27T00:00:00"/>
    <s v="Mixed"/>
    <n v="866"/>
    <n v="10"/>
    <x v="1"/>
  </r>
  <r>
    <x v="362"/>
    <s v="C020"/>
    <d v="2026-08-28T00:00:00"/>
    <s v="PP"/>
    <n v="695"/>
    <n v="5"/>
    <x v="0"/>
  </r>
  <r>
    <x v="363"/>
    <s v="C024"/>
    <d v="2026-06-15T00:00:00"/>
    <s v="PP"/>
    <n v="615"/>
    <n v="38"/>
    <x v="0"/>
  </r>
  <r>
    <x v="364"/>
    <s v="C009"/>
    <d v="2026-11-07T00:00:00"/>
    <s v="PP"/>
    <n v="1106"/>
    <n v="13"/>
    <x v="0"/>
  </r>
  <r>
    <x v="365"/>
    <s v="C004"/>
    <d v="2026-02-23T00:00:00"/>
    <s v="LPDE"/>
    <n v="488"/>
    <n v="38"/>
    <x v="0"/>
  </r>
  <r>
    <x v="366"/>
    <s v="C001"/>
    <d v="2026-11-26T00:00:00"/>
    <s v="HDPE"/>
    <n v="977"/>
    <n v="42"/>
    <x v="0"/>
  </r>
  <r>
    <x v="367"/>
    <s v="C025"/>
    <d v="2026-11-13T00:00:00"/>
    <s v="HDPE"/>
    <n v="1018"/>
    <n v="5"/>
    <x v="0"/>
  </r>
  <r>
    <x v="368"/>
    <s v="C001"/>
    <d v="2026-08-27T00:00:00"/>
    <s v="Mixed"/>
    <n v="991"/>
    <n v="21"/>
    <x v="1"/>
  </r>
  <r>
    <x v="369"/>
    <s v="C012"/>
    <d v="2026-09-16T00:00:00"/>
    <s v="PET"/>
    <n v="958"/>
    <n v="48"/>
    <x v="1"/>
  </r>
  <r>
    <x v="370"/>
    <s v="C024"/>
    <d v="2026-12-03T00:00:00"/>
    <s v="PP"/>
    <n v="763"/>
    <n v="18"/>
    <x v="0"/>
  </r>
  <r>
    <x v="371"/>
    <s v="C005"/>
    <d v="2026-08-13T00:00:00"/>
    <s v="HDPE"/>
    <n v="342"/>
    <n v="13"/>
    <x v="0"/>
  </r>
  <r>
    <x v="372"/>
    <s v="C021"/>
    <d v="2026-05-18T00:00:00"/>
    <s v="PP"/>
    <n v="212"/>
    <n v="42"/>
    <x v="0"/>
  </r>
  <r>
    <x v="373"/>
    <s v="C013"/>
    <d v="2026-09-13T00:00:00"/>
    <s v="Mixed"/>
    <n v="449"/>
    <n v="21"/>
    <x v="0"/>
  </r>
  <r>
    <x v="374"/>
    <s v="C010"/>
    <d v="2026-07-18T00:00:00"/>
    <s v="HDPE"/>
    <n v="512"/>
    <n v="31"/>
    <x v="0"/>
  </r>
  <r>
    <x v="375"/>
    <s v="C026"/>
    <d v="2026-11-06T00:00:00"/>
    <s v="PP"/>
    <n v="408"/>
    <n v="14"/>
    <x v="0"/>
  </r>
  <r>
    <x v="376"/>
    <s v="C008"/>
    <d v="2026-10-23T00:00:00"/>
    <s v="PP"/>
    <n v="300"/>
    <n v="40"/>
    <x v="0"/>
  </r>
  <r>
    <x v="377"/>
    <s v="C004"/>
    <d v="2026-01-01T00:00:00"/>
    <s v="Mixed"/>
    <n v="969"/>
    <n v="15"/>
    <x v="0"/>
  </r>
  <r>
    <x v="378"/>
    <s v="C027"/>
    <d v="2026-05-16T00:00:00"/>
    <s v="Mixed"/>
    <n v="832"/>
    <n v="49"/>
    <x v="0"/>
  </r>
  <r>
    <x v="379"/>
    <s v="C017"/>
    <d v="2026-08-04T00:00:00"/>
    <s v="LPDE"/>
    <n v="1069"/>
    <n v="52"/>
    <x v="0"/>
  </r>
  <r>
    <x v="380"/>
    <s v="C011"/>
    <d v="2026-05-28T00:00:00"/>
    <s v="Mixed"/>
    <n v="1019"/>
    <n v="12"/>
    <x v="0"/>
  </r>
  <r>
    <x v="381"/>
    <s v="C011"/>
    <d v="2026-05-08T00:00:00"/>
    <s v="HDPE"/>
    <n v="238"/>
    <n v="7"/>
    <x v="0"/>
  </r>
  <r>
    <x v="382"/>
    <s v="C019"/>
    <d v="2026-03-22T00:00:00"/>
    <s v="PP"/>
    <n v="310"/>
    <n v="9"/>
    <x v="0"/>
  </r>
  <r>
    <x v="383"/>
    <s v="C027"/>
    <d v="2026-11-12T00:00:00"/>
    <s v="HDPE"/>
    <n v="1049"/>
    <n v="32"/>
    <x v="0"/>
  </r>
  <r>
    <x v="384"/>
    <s v="C030"/>
    <d v="2026-01-01T00:00:00"/>
    <s v="PET"/>
    <n v="437"/>
    <n v="59"/>
    <x v="0"/>
  </r>
  <r>
    <x v="385"/>
    <s v="C009"/>
    <d v="2026-01-22T00:00:00"/>
    <s v="PET"/>
    <n v="269"/>
    <n v="21"/>
    <x v="0"/>
  </r>
  <r>
    <x v="386"/>
    <s v="C022"/>
    <d v="2026-05-02T00:00:00"/>
    <s v="PP"/>
    <n v="629"/>
    <n v="47"/>
    <x v="0"/>
  </r>
  <r>
    <x v="387"/>
    <s v="C027"/>
    <d v="2026-11-20T00:00:00"/>
    <s v="Mixed"/>
    <n v="1117"/>
    <n v="35"/>
    <x v="0"/>
  </r>
  <r>
    <x v="388"/>
    <s v="C024"/>
    <d v="2026-05-25T00:00:00"/>
    <s v="HDPE"/>
    <n v="279"/>
    <n v="60"/>
    <x v="0"/>
  </r>
  <r>
    <x v="389"/>
    <s v="C019"/>
    <d v="2026-06-04T00:00:00"/>
    <s v="PET"/>
    <n v="612"/>
    <n v="48"/>
    <x v="0"/>
  </r>
  <r>
    <x v="390"/>
    <s v="C007"/>
    <d v="2026-04-28T00:00:00"/>
    <s v="PP"/>
    <n v="786"/>
    <n v="28"/>
    <x v="1"/>
  </r>
  <r>
    <x v="391"/>
    <s v="C005"/>
    <d v="2026-07-06T00:00:00"/>
    <s v="HDPE"/>
    <n v="959"/>
    <n v="14"/>
    <x v="0"/>
  </r>
  <r>
    <x v="392"/>
    <s v="C007"/>
    <d v="2026-01-25T00:00:00"/>
    <s v="Mixed"/>
    <n v="466"/>
    <n v="24"/>
    <x v="0"/>
  </r>
  <r>
    <x v="393"/>
    <s v="C012"/>
    <d v="2026-01-13T00:00:00"/>
    <s v="HDPE"/>
    <n v="394"/>
    <n v="5"/>
    <x v="0"/>
  </r>
  <r>
    <x v="394"/>
    <s v="C019"/>
    <d v="2026-01-05T00:00:00"/>
    <s v="LPDE"/>
    <n v="1054"/>
    <n v="19"/>
    <x v="0"/>
  </r>
  <r>
    <x v="395"/>
    <s v="C030"/>
    <d v="2026-11-29T00:00:00"/>
    <s v="Mixed"/>
    <n v="557"/>
    <n v="58"/>
    <x v="1"/>
  </r>
  <r>
    <x v="396"/>
    <s v="C010"/>
    <d v="2026-06-06T00:00:00"/>
    <s v="PET"/>
    <n v="588"/>
    <n v="52"/>
    <x v="0"/>
  </r>
  <r>
    <x v="397"/>
    <s v="C011"/>
    <d v="2026-12-22T00:00:00"/>
    <s v="HDPE"/>
    <n v="990"/>
    <n v="5"/>
    <x v="1"/>
  </r>
  <r>
    <x v="398"/>
    <s v="C027"/>
    <d v="2026-07-09T00:00:00"/>
    <s v="HDPE"/>
    <n v="410"/>
    <n v="38"/>
    <x v="0"/>
  </r>
  <r>
    <x v="399"/>
    <s v="C009"/>
    <d v="2026-03-26T00:00:00"/>
    <s v="Mixed"/>
    <n v="228"/>
    <n v="30"/>
    <x v="0"/>
  </r>
  <r>
    <x v="400"/>
    <s v="C020"/>
    <d v="2026-03-22T00:00:00"/>
    <s v="PET"/>
    <n v="885"/>
    <n v="32"/>
    <x v="1"/>
  </r>
  <r>
    <x v="401"/>
    <s v="C014"/>
    <d v="2026-10-03T00:00:00"/>
    <s v="Mixed"/>
    <n v="1117"/>
    <n v="15"/>
    <x v="0"/>
  </r>
  <r>
    <x v="402"/>
    <s v="C016"/>
    <d v="2026-06-09T00:00:00"/>
    <s v="HDPE"/>
    <n v="1058"/>
    <n v="44"/>
    <x v="0"/>
  </r>
  <r>
    <x v="403"/>
    <s v="C024"/>
    <d v="2026-06-29T00:00:00"/>
    <s v="PET"/>
    <n v="987"/>
    <n v="53"/>
    <x v="0"/>
  </r>
  <r>
    <x v="404"/>
    <s v="C016"/>
    <d v="2026-11-11T00:00:00"/>
    <s v="PP"/>
    <n v="551"/>
    <n v="54"/>
    <x v="0"/>
  </r>
  <r>
    <x v="405"/>
    <s v="C002"/>
    <d v="2026-10-03T00:00:00"/>
    <s v="PP"/>
    <n v="913"/>
    <n v="55"/>
    <x v="0"/>
  </r>
  <r>
    <x v="406"/>
    <s v="C026"/>
    <d v="2026-05-07T00:00:00"/>
    <s v="LPDE"/>
    <n v="868"/>
    <n v="5"/>
    <x v="1"/>
  </r>
  <r>
    <x v="407"/>
    <s v="C030"/>
    <d v="2026-12-21T00:00:00"/>
    <s v="PET"/>
    <n v="778"/>
    <n v="6"/>
    <x v="0"/>
  </r>
  <r>
    <x v="408"/>
    <s v="C012"/>
    <d v="2026-04-23T00:00:00"/>
    <s v="Mixed"/>
    <n v="1056"/>
    <n v="53"/>
    <x v="0"/>
  </r>
  <r>
    <x v="409"/>
    <s v="C024"/>
    <d v="2026-05-06T00:00:00"/>
    <s v="LPDE"/>
    <n v="720"/>
    <n v="31"/>
    <x v="0"/>
  </r>
  <r>
    <x v="410"/>
    <s v="C028"/>
    <d v="2026-06-22T00:00:00"/>
    <s v="Mixed"/>
    <n v="389"/>
    <n v="16"/>
    <x v="0"/>
  </r>
  <r>
    <x v="411"/>
    <s v="C024"/>
    <d v="2026-02-02T00:00:00"/>
    <s v="PP"/>
    <n v="1191"/>
    <n v="19"/>
    <x v="0"/>
  </r>
  <r>
    <x v="412"/>
    <s v="C025"/>
    <d v="2026-02-24T00:00:00"/>
    <s v="PET"/>
    <n v="965"/>
    <n v="57"/>
    <x v="0"/>
  </r>
  <r>
    <x v="413"/>
    <s v="C008"/>
    <d v="2026-02-14T00:00:00"/>
    <s v="PP"/>
    <n v="509"/>
    <n v="47"/>
    <x v="0"/>
  </r>
  <r>
    <x v="414"/>
    <s v="C019"/>
    <d v="2026-08-07T00:00:00"/>
    <s v="HDPE"/>
    <n v="773"/>
    <n v="35"/>
    <x v="0"/>
  </r>
  <r>
    <x v="415"/>
    <s v="C024"/>
    <d v="2026-11-27T00:00:00"/>
    <s v="PET"/>
    <n v="1126"/>
    <n v="23"/>
    <x v="0"/>
  </r>
  <r>
    <x v="416"/>
    <s v="C008"/>
    <d v="2026-08-15T00:00:00"/>
    <s v="HDPE"/>
    <n v="1166"/>
    <n v="35"/>
    <x v="0"/>
  </r>
  <r>
    <x v="417"/>
    <s v="C002"/>
    <d v="2026-12-19T00:00:00"/>
    <s v="PET"/>
    <n v="964"/>
    <n v="30"/>
    <x v="0"/>
  </r>
  <r>
    <x v="418"/>
    <s v="C001"/>
    <d v="2026-08-03T00:00:00"/>
    <s v="HDPE"/>
    <n v="990"/>
    <n v="5"/>
    <x v="0"/>
  </r>
  <r>
    <x v="419"/>
    <s v="C006"/>
    <d v="2026-09-08T00:00:00"/>
    <s v="PET"/>
    <n v="762"/>
    <n v="27"/>
    <x v="0"/>
  </r>
  <r>
    <x v="420"/>
    <s v="C025"/>
    <d v="2026-09-20T00:00:00"/>
    <s v="LPDE"/>
    <n v="797"/>
    <n v="49"/>
    <x v="0"/>
  </r>
  <r>
    <x v="421"/>
    <s v="C007"/>
    <d v="2026-07-12T00:00:00"/>
    <s v="HDPE"/>
    <n v="295"/>
    <n v="45"/>
    <x v="0"/>
  </r>
  <r>
    <x v="422"/>
    <s v="C012"/>
    <d v="2026-11-08T00:00:00"/>
    <s v="LPDE"/>
    <n v="479"/>
    <n v="41"/>
    <x v="0"/>
  </r>
  <r>
    <x v="423"/>
    <s v="C001"/>
    <d v="2026-07-26T00:00:00"/>
    <s v="LPDE"/>
    <n v="436"/>
    <n v="34"/>
    <x v="0"/>
  </r>
  <r>
    <x v="424"/>
    <s v="C017"/>
    <d v="2026-01-07T00:00:00"/>
    <s v="PP"/>
    <n v="337"/>
    <n v="53"/>
    <x v="0"/>
  </r>
  <r>
    <x v="425"/>
    <s v="C014"/>
    <d v="2026-05-15T00:00:00"/>
    <s v="PET"/>
    <n v="985"/>
    <n v="25"/>
    <x v="1"/>
  </r>
  <r>
    <x v="426"/>
    <s v="C006"/>
    <d v="2026-08-02T00:00:00"/>
    <s v="Mixed"/>
    <n v="633"/>
    <n v="16"/>
    <x v="0"/>
  </r>
  <r>
    <x v="427"/>
    <s v="C025"/>
    <d v="2026-08-08T00:00:00"/>
    <s v="PET"/>
    <n v="606"/>
    <n v="49"/>
    <x v="0"/>
  </r>
  <r>
    <x v="428"/>
    <s v="C023"/>
    <d v="2026-04-08T00:00:00"/>
    <s v="PET"/>
    <n v="714"/>
    <n v="55"/>
    <x v="0"/>
  </r>
  <r>
    <x v="429"/>
    <s v="C006"/>
    <d v="2026-03-09T00:00:00"/>
    <s v="PP"/>
    <n v="637"/>
    <n v="39"/>
    <x v="1"/>
  </r>
  <r>
    <x v="430"/>
    <s v="C021"/>
    <d v="2026-07-06T00:00:00"/>
    <s v="HDPE"/>
    <n v="781"/>
    <n v="38"/>
    <x v="1"/>
  </r>
  <r>
    <x v="431"/>
    <s v="C027"/>
    <d v="2026-04-03T00:00:00"/>
    <s v="PET"/>
    <n v="784"/>
    <n v="5"/>
    <x v="0"/>
  </r>
  <r>
    <x v="432"/>
    <s v="C009"/>
    <d v="2026-05-11T00:00:00"/>
    <s v="PET"/>
    <n v="932"/>
    <n v="54"/>
    <x v="0"/>
  </r>
  <r>
    <x v="433"/>
    <s v="C029"/>
    <d v="2026-11-26T00:00:00"/>
    <s v="HDPE"/>
    <n v="418"/>
    <n v="60"/>
    <x v="0"/>
  </r>
  <r>
    <x v="434"/>
    <s v="C023"/>
    <d v="2026-12-19T00:00:00"/>
    <s v="PP"/>
    <n v="585"/>
    <n v="5"/>
    <x v="0"/>
  </r>
  <r>
    <x v="435"/>
    <s v="C016"/>
    <d v="2026-07-16T00:00:00"/>
    <s v="LPDE"/>
    <n v="572"/>
    <n v="34"/>
    <x v="0"/>
  </r>
  <r>
    <x v="436"/>
    <s v="C028"/>
    <d v="2026-12-08T00:00:00"/>
    <s v="PP"/>
    <n v="672"/>
    <n v="51"/>
    <x v="0"/>
  </r>
  <r>
    <x v="437"/>
    <s v="C012"/>
    <d v="2026-09-25T00:00:00"/>
    <s v="PP"/>
    <n v="721"/>
    <n v="47"/>
    <x v="0"/>
  </r>
  <r>
    <x v="438"/>
    <s v="C019"/>
    <d v="2026-10-20T00:00:00"/>
    <s v="HDPE"/>
    <n v="746"/>
    <n v="56"/>
    <x v="1"/>
  </r>
  <r>
    <x v="439"/>
    <s v="C014"/>
    <d v="2026-04-26T00:00:00"/>
    <s v="HDPE"/>
    <n v="945"/>
    <n v="49"/>
    <x v="0"/>
  </r>
  <r>
    <x v="440"/>
    <s v="C014"/>
    <d v="2026-05-25T00:00:00"/>
    <s v="PET"/>
    <n v="1062"/>
    <n v="46"/>
    <x v="0"/>
  </r>
  <r>
    <x v="441"/>
    <s v="C029"/>
    <d v="2026-07-09T00:00:00"/>
    <s v="PP"/>
    <n v="706"/>
    <n v="41"/>
    <x v="0"/>
  </r>
  <r>
    <x v="442"/>
    <s v="C012"/>
    <d v="2026-10-29T00:00:00"/>
    <s v="Mixed"/>
    <n v="507"/>
    <n v="31"/>
    <x v="0"/>
  </r>
  <r>
    <x v="443"/>
    <s v="C003"/>
    <d v="2026-10-23T00:00:00"/>
    <s v="PP"/>
    <n v="554"/>
    <n v="6"/>
    <x v="0"/>
  </r>
  <r>
    <x v="444"/>
    <s v="C019"/>
    <d v="2026-02-09T00:00:00"/>
    <s v="PP"/>
    <n v="397"/>
    <n v="27"/>
    <x v="0"/>
  </r>
  <r>
    <x v="445"/>
    <s v="C028"/>
    <d v="2026-02-04T00:00:00"/>
    <s v="LPDE"/>
    <n v="505"/>
    <n v="51"/>
    <x v="0"/>
  </r>
  <r>
    <x v="446"/>
    <s v="C002"/>
    <d v="2026-05-12T00:00:00"/>
    <s v="Mixed"/>
    <n v="896"/>
    <n v="44"/>
    <x v="0"/>
  </r>
  <r>
    <x v="447"/>
    <s v="C015"/>
    <d v="2026-10-26T00:00:00"/>
    <s v="PET"/>
    <n v="1156"/>
    <n v="52"/>
    <x v="0"/>
  </r>
  <r>
    <x v="448"/>
    <s v="C027"/>
    <d v="2026-04-04T00:00:00"/>
    <s v="LPDE"/>
    <n v="994"/>
    <n v="52"/>
    <x v="0"/>
  </r>
  <r>
    <x v="449"/>
    <s v="C016"/>
    <d v="2026-10-27T00:00:00"/>
    <s v="HDPE"/>
    <n v="315"/>
    <n v="27"/>
    <x v="0"/>
  </r>
  <r>
    <x v="450"/>
    <s v="C005"/>
    <d v="2026-12-01T00:00:00"/>
    <s v="LPDE"/>
    <n v="503"/>
    <n v="57"/>
    <x v="0"/>
  </r>
  <r>
    <x v="451"/>
    <s v="C019"/>
    <d v="2026-11-26T00:00:00"/>
    <s v="PP"/>
    <n v="312"/>
    <n v="59"/>
    <x v="1"/>
  </r>
  <r>
    <x v="452"/>
    <s v="C011"/>
    <d v="2026-05-18T00:00:00"/>
    <s v="HDPE"/>
    <n v="248"/>
    <n v="54"/>
    <x v="0"/>
  </r>
  <r>
    <x v="453"/>
    <s v="C007"/>
    <d v="2026-03-22T00:00:00"/>
    <s v="Mixed"/>
    <n v="304"/>
    <n v="49"/>
    <x v="0"/>
  </r>
  <r>
    <x v="454"/>
    <s v="C009"/>
    <d v="2026-04-08T00:00:00"/>
    <s v="HDPE"/>
    <n v="824"/>
    <n v="40"/>
    <x v="0"/>
  </r>
  <r>
    <x v="455"/>
    <s v="C018"/>
    <d v="2026-08-11T00:00:00"/>
    <s v="LPDE"/>
    <n v="740"/>
    <n v="56"/>
    <x v="0"/>
  </r>
  <r>
    <x v="456"/>
    <s v="C013"/>
    <d v="2026-01-26T00:00:00"/>
    <s v="HDPE"/>
    <n v="531"/>
    <n v="48"/>
    <x v="0"/>
  </r>
  <r>
    <x v="457"/>
    <s v="C011"/>
    <d v="2026-07-28T00:00:00"/>
    <s v="PP"/>
    <n v="1137"/>
    <n v="21"/>
    <x v="0"/>
  </r>
  <r>
    <x v="458"/>
    <s v="C017"/>
    <d v="2026-12-14T00:00:00"/>
    <s v="LPDE"/>
    <n v="1140"/>
    <n v="11"/>
    <x v="0"/>
  </r>
  <r>
    <x v="459"/>
    <s v="C030"/>
    <d v="2026-09-07T00:00:00"/>
    <s v="HDPE"/>
    <n v="257"/>
    <n v="35"/>
    <x v="0"/>
  </r>
  <r>
    <x v="460"/>
    <s v="C029"/>
    <d v="2026-08-07T00:00:00"/>
    <s v="PET"/>
    <n v="315"/>
    <n v="19"/>
    <x v="0"/>
  </r>
  <r>
    <x v="461"/>
    <s v="C002"/>
    <d v="2026-09-04T00:00:00"/>
    <s v="PET"/>
    <n v="847"/>
    <n v="60"/>
    <x v="0"/>
  </r>
  <r>
    <x v="462"/>
    <s v="C001"/>
    <d v="2026-09-09T00:00:00"/>
    <s v="LPDE"/>
    <n v="418"/>
    <n v="15"/>
    <x v="0"/>
  </r>
  <r>
    <x v="463"/>
    <s v="C008"/>
    <d v="2026-01-06T00:00:00"/>
    <s v="Mixed"/>
    <n v="233"/>
    <n v="49"/>
    <x v="0"/>
  </r>
  <r>
    <x v="464"/>
    <s v="C019"/>
    <d v="2026-07-14T00:00:00"/>
    <s v="HDPE"/>
    <n v="299"/>
    <n v="43"/>
    <x v="1"/>
  </r>
  <r>
    <x v="465"/>
    <s v="C018"/>
    <d v="2026-10-17T00:00:00"/>
    <s v="PET"/>
    <n v="1133"/>
    <n v="49"/>
    <x v="0"/>
  </r>
  <r>
    <x v="466"/>
    <s v="C028"/>
    <d v="2026-06-17T00:00:00"/>
    <s v="Mixed"/>
    <n v="957"/>
    <n v="57"/>
    <x v="0"/>
  </r>
  <r>
    <x v="467"/>
    <s v="C020"/>
    <d v="2026-02-09T00:00:00"/>
    <s v="LPDE"/>
    <n v="224"/>
    <n v="57"/>
    <x v="0"/>
  </r>
  <r>
    <x v="468"/>
    <s v="C022"/>
    <d v="2026-05-01T00:00:00"/>
    <s v="LPDE"/>
    <n v="267"/>
    <n v="27"/>
    <x v="0"/>
  </r>
  <r>
    <x v="469"/>
    <s v="C001"/>
    <d v="2026-11-26T00:00:00"/>
    <s v="HDPE"/>
    <n v="497"/>
    <n v="11"/>
    <x v="0"/>
  </r>
  <r>
    <x v="470"/>
    <s v="C016"/>
    <d v="2026-07-15T00:00:00"/>
    <s v="LPDE"/>
    <n v="424"/>
    <n v="18"/>
    <x v="0"/>
  </r>
  <r>
    <x v="471"/>
    <s v="C025"/>
    <d v="2026-06-20T00:00:00"/>
    <s v="HDPE"/>
    <n v="1068"/>
    <n v="20"/>
    <x v="0"/>
  </r>
  <r>
    <x v="472"/>
    <s v="C001"/>
    <d v="2026-11-03T00:00:00"/>
    <s v="PP"/>
    <n v="267"/>
    <n v="11"/>
    <x v="0"/>
  </r>
  <r>
    <x v="473"/>
    <s v="C010"/>
    <d v="2026-03-23T00:00:00"/>
    <s v="HDPE"/>
    <n v="1178"/>
    <n v="20"/>
    <x v="0"/>
  </r>
  <r>
    <x v="474"/>
    <s v="C009"/>
    <d v="2026-12-02T00:00:00"/>
    <s v="LPDE"/>
    <n v="490"/>
    <n v="35"/>
    <x v="1"/>
  </r>
  <r>
    <x v="475"/>
    <s v="C015"/>
    <d v="2026-08-08T00:00:00"/>
    <s v="PET"/>
    <n v="657"/>
    <n v="19"/>
    <x v="1"/>
  </r>
  <r>
    <x v="476"/>
    <s v="C007"/>
    <d v="2026-03-05T00:00:00"/>
    <s v="HDPE"/>
    <n v="467"/>
    <n v="12"/>
    <x v="0"/>
  </r>
  <r>
    <x v="477"/>
    <s v="C023"/>
    <d v="2026-10-30T00:00:00"/>
    <s v="PET"/>
    <n v="761"/>
    <n v="49"/>
    <x v="0"/>
  </r>
  <r>
    <x v="478"/>
    <s v="C001"/>
    <d v="2026-04-21T00:00:00"/>
    <s v="PET"/>
    <n v="1179"/>
    <n v="42"/>
    <x v="0"/>
  </r>
  <r>
    <x v="479"/>
    <s v="C010"/>
    <d v="2026-05-10T00:00:00"/>
    <s v="PP"/>
    <n v="733"/>
    <n v="39"/>
    <x v="0"/>
  </r>
  <r>
    <x v="480"/>
    <s v="C014"/>
    <d v="2026-06-13T00:00:00"/>
    <s v="Mixed"/>
    <n v="351"/>
    <n v="58"/>
    <x v="0"/>
  </r>
  <r>
    <x v="481"/>
    <s v="C015"/>
    <d v="2026-09-12T00:00:00"/>
    <s v="HDPE"/>
    <n v="949"/>
    <n v="6"/>
    <x v="0"/>
  </r>
  <r>
    <x v="482"/>
    <s v="C002"/>
    <d v="2026-08-16T00:00:00"/>
    <s v="HDPE"/>
    <n v="810"/>
    <n v="29"/>
    <x v="0"/>
  </r>
  <r>
    <x v="483"/>
    <s v="C004"/>
    <d v="2026-03-02T00:00:00"/>
    <s v="PET"/>
    <n v="656"/>
    <n v="47"/>
    <x v="0"/>
  </r>
  <r>
    <x v="484"/>
    <s v="C018"/>
    <d v="2026-07-23T00:00:00"/>
    <s v="PET"/>
    <n v="254"/>
    <n v="11"/>
    <x v="0"/>
  </r>
  <r>
    <x v="485"/>
    <s v="C002"/>
    <d v="2026-06-23T00:00:00"/>
    <s v="HDPE"/>
    <n v="807"/>
    <n v="49"/>
    <x v="0"/>
  </r>
  <r>
    <x v="486"/>
    <s v="C021"/>
    <d v="2026-03-31T00:00:00"/>
    <s v="LPDE"/>
    <n v="800"/>
    <n v="10"/>
    <x v="1"/>
  </r>
  <r>
    <x v="487"/>
    <s v="C013"/>
    <d v="2026-03-03T00:00:00"/>
    <s v="HDPE"/>
    <n v="270"/>
    <n v="15"/>
    <x v="0"/>
  </r>
  <r>
    <x v="488"/>
    <s v="C011"/>
    <d v="2026-09-26T00:00:00"/>
    <s v="PET"/>
    <n v="688"/>
    <n v="46"/>
    <x v="0"/>
  </r>
  <r>
    <x v="489"/>
    <s v="C005"/>
    <d v="2026-01-02T00:00:00"/>
    <s v="PET"/>
    <n v="806"/>
    <n v="13"/>
    <x v="1"/>
  </r>
  <r>
    <x v="490"/>
    <s v="C017"/>
    <d v="2026-05-20T00:00:00"/>
    <s v="LPDE"/>
    <n v="309"/>
    <n v="19"/>
    <x v="0"/>
  </r>
  <r>
    <x v="491"/>
    <s v="C025"/>
    <d v="2026-07-13T00:00:00"/>
    <s v="LPDE"/>
    <n v="602"/>
    <n v="15"/>
    <x v="1"/>
  </r>
  <r>
    <x v="492"/>
    <s v="C020"/>
    <d v="2026-06-02T00:00:00"/>
    <s v="PET"/>
    <n v="516"/>
    <n v="31"/>
    <x v="0"/>
  </r>
  <r>
    <x v="493"/>
    <s v="C022"/>
    <d v="2026-12-28T00:00:00"/>
    <s v="PET"/>
    <n v="867"/>
    <n v="6"/>
    <x v="0"/>
  </r>
  <r>
    <x v="494"/>
    <s v="C012"/>
    <d v="2026-01-06T00:00:00"/>
    <s v="Mixed"/>
    <n v="481"/>
    <n v="43"/>
    <x v="0"/>
  </r>
  <r>
    <x v="495"/>
    <s v="C009"/>
    <d v="2026-07-16T00:00:00"/>
    <s v="HDPE"/>
    <n v="382"/>
    <n v="39"/>
    <x v="1"/>
  </r>
  <r>
    <x v="496"/>
    <s v="C005"/>
    <d v="2026-10-22T00:00:00"/>
    <s v="LPDE"/>
    <n v="206"/>
    <n v="40"/>
    <x v="0"/>
  </r>
  <r>
    <x v="497"/>
    <s v="C010"/>
    <d v="2026-02-22T00:00:00"/>
    <s v="LPDE"/>
    <n v="322"/>
    <n v="19"/>
    <x v="0"/>
  </r>
  <r>
    <x v="498"/>
    <s v="C005"/>
    <d v="2026-09-12T00:00:00"/>
    <s v="PET"/>
    <n v="905"/>
    <n v="43"/>
    <x v="0"/>
  </r>
  <r>
    <x v="499"/>
    <s v="C018"/>
    <d v="2026-09-18T00:00:00"/>
    <s v="Mixed"/>
    <n v="490"/>
    <n v="3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C86B55-A587-46CF-BE26-27905C3FD5AE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7" firstHeaderRow="1" firstDataRow="1" firstDataCol="1"/>
  <pivotFields count="9">
    <pivotField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umFmtId="14" showAll="0"/>
    <pivotField axis="axisRow" showAll="0" sortType="descending">
      <items count="6">
        <item x="3"/>
        <item x="2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0" showAll="0"/>
    <pivotField dataField="1" numFmtId="164" showAll="0"/>
  </pivotFields>
  <rowFields count="1">
    <field x="2"/>
  </rowFields>
  <rowItems count="6">
    <i>
      <x v="3"/>
    </i>
    <i>
      <x/>
    </i>
    <i>
      <x v="4"/>
    </i>
    <i>
      <x v="1"/>
    </i>
    <i>
      <x v="2"/>
    </i>
    <i t="grand">
      <x/>
    </i>
  </rowItems>
  <colItems count="1">
    <i/>
  </colItems>
  <dataFields count="1">
    <dataField name="Average of Throughput_KG/HR" fld="8" subtotal="average" baseField="2" baseItem="0" numFmtId="16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3FFCB2-AEDB-4607-9EBD-A282BBACCFE6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:N4" firstHeaderRow="1" firstDataRow="1" firstDataCol="1"/>
  <pivotFields count="7">
    <pivotField dataField="1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/>
    <pivotField numFmtId="14"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Pickup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576F6E-233E-4EDF-8B2F-DBEC202183C3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J1:K7" firstHeaderRow="1" firstDataRow="1" firstDataCol="1"/>
  <pivotFields count="5">
    <pivotField showAll="0"/>
    <pivotField numFmtId="14" showAll="0"/>
    <pivotField axis="axisRow" showAll="0" sortType="descending">
      <items count="6">
        <item x="3"/>
        <item x="0"/>
        <item x="1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2"/>
  </rowFields>
  <rowItems count="6">
    <i>
      <x v="3"/>
    </i>
    <i>
      <x v="1"/>
    </i>
    <i>
      <x v="2"/>
    </i>
    <i>
      <x/>
    </i>
    <i>
      <x v="4"/>
    </i>
    <i t="grand">
      <x/>
    </i>
  </rowItems>
  <colItems count="1">
    <i/>
  </colItems>
  <dataFields count="1">
    <dataField name="Sum of Downtime_Duration" fld="4" baseField="0" baseItem="0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FA9ED9-4DE5-4338-94DD-BBC167EE8882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:H9" firstHeaderRow="1" firstDataRow="1" firstDataCol="1"/>
  <pivotFields count="5">
    <pivotField showAll="0"/>
    <pivotField numFmtId="14" showAll="0"/>
    <pivotField showAll="0"/>
    <pivotField axis="axisRow" showAll="0" sortType="descending">
      <items count="8">
        <item x="6"/>
        <item x="2"/>
        <item x="5"/>
        <item x="1"/>
        <item x="3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3"/>
  </rowFields>
  <rowItems count="8">
    <i>
      <x v="3"/>
    </i>
    <i>
      <x v="4"/>
    </i>
    <i>
      <x v="6"/>
    </i>
    <i>
      <x/>
    </i>
    <i>
      <x v="1"/>
    </i>
    <i>
      <x v="2"/>
    </i>
    <i>
      <x v="5"/>
    </i>
    <i t="grand">
      <x/>
    </i>
  </rowItems>
  <colItems count="1">
    <i/>
  </colItems>
  <dataFields count="1">
    <dataField name="Sum of Downtime_Duration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90ACAF-85C0-4F87-A914-5B2E194978D9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D1:E7" firstHeaderRow="1" firstDataRow="1" firstDataCol="1"/>
  <pivotFields count="9">
    <pivotField showAll="0"/>
    <pivotField numFmtId="14" showAll="0"/>
    <pivotField axis="axisRow" showAll="0" sortType="descending">
      <items count="6">
        <item x="3"/>
        <item x="2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numFmtId="10" showAll="0"/>
    <pivotField numFmtId="164" showAll="0"/>
  </pivotFields>
  <rowFields count="1">
    <field x="2"/>
  </rowFields>
  <rowItems count="6">
    <i>
      <x v="3"/>
    </i>
    <i>
      <x/>
    </i>
    <i>
      <x v="4"/>
    </i>
    <i>
      <x v="1"/>
    </i>
    <i>
      <x v="2"/>
    </i>
    <i t="grand">
      <x/>
    </i>
  </rowItems>
  <colItems count="1">
    <i/>
  </colItems>
  <dataFields count="1">
    <dataField name="Average of Yield" fld="7" subtotal="average" baseField="2" baseItem="1" numFmtId="1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D80233B-882C-4B4D-B668-B0BC90EBC11D}" name="Table8" displayName="Table8" ref="A1:D31" totalsRowShown="0">
  <autoFilter ref="A1:D31" xr:uid="{2D80233B-882C-4B4D-B668-B0BC90EBC11D}"/>
  <tableColumns count="4">
    <tableColumn id="1" xr3:uid="{B54A943B-5811-4D4C-AB14-958AC95EBBBF}" name="Customer_ID"/>
    <tableColumn id="2" xr3:uid="{F870555C-5079-46C2-8BF0-95FA02D0DB79}" name="Customer_Name"/>
    <tableColumn id="3" xr3:uid="{7A4A8F10-D4D9-4544-A981-C5B7189502F3}" name="City"/>
    <tableColumn id="4" xr3:uid="{8F69B7EE-432F-475F-89BE-4FD1DC08C0DB}" name="Customer_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5E46CA0-538E-4C0F-A2DD-708FE501FD23}" name="Table5" displayName="Table5" ref="A1:G501" totalsRowShown="0">
  <autoFilter ref="A1:G501" xr:uid="{25E46CA0-538E-4C0F-A2DD-708FE501FD23}"/>
  <tableColumns count="7">
    <tableColumn id="1" xr3:uid="{FFAC9AEE-F3E8-459E-9787-CD916751C95A}" name="Pickup_ID"/>
    <tableColumn id="2" xr3:uid="{D374E098-2EE7-4BF4-BFDE-485E4367DD8C}" name="Customer_ID"/>
    <tableColumn id="3" xr3:uid="{8DD28AEA-F8BD-417E-8EAE-702465270567}" name="Pickup_Date" dataDxfId="5"/>
    <tableColumn id="4" xr3:uid="{28FA50A9-40AC-4319-A121-4B5BF862DA50}" name="Material"/>
    <tableColumn id="5" xr3:uid="{5CBAB836-56FD-4B32-8899-9B78497D6DB2}" name="Weight_KG"/>
    <tableColumn id="6" xr3:uid="{BE7945E2-8711-433E-B0B4-7F59B417CCA1}" name="Distance_KM"/>
    <tableColumn id="7" xr3:uid="{BD82E050-08E1-4FAE-B165-73B66D8B6452}" name="Pickup_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0DAF10E-2B72-4A6D-B979-58DFCB61EE8A}" name="Table4" displayName="Table4" ref="A1:I201" totalsRowShown="0">
  <autoFilter ref="A1:I201" xr:uid="{20DAF10E-2B72-4A6D-B979-58DFCB61EE8A}"/>
  <tableColumns count="9">
    <tableColumn id="1" xr3:uid="{5AA4F5D5-E0D9-4DAE-AC54-CCDD1649EAF8}" name="Batch_ID"/>
    <tableColumn id="2" xr3:uid="{BC8561C0-841A-4DB2-80FD-E934CB7A1DE2}" name="Batch_Date" dataDxfId="4"/>
    <tableColumn id="3" xr3:uid="{5320707C-94D1-4B71-B7C0-6219DF79FA77}" name="Material"/>
    <tableColumn id="4" xr3:uid="{13FE242B-344C-4612-BBD7-949B483D6746}" name="Machine"/>
    <tableColumn id="5" xr3:uid="{39219F62-F9D5-42FE-955B-5DFE65664C13}" name="Input_KG"/>
    <tableColumn id="6" xr3:uid="{0CD01CC9-DC21-4FA8-850F-5C3B4CCFB15C}" name="Processing_Time_HR"/>
    <tableColumn id="7" xr3:uid="{A9D537D7-7632-4079-B621-250E17C0E108}" name="Output_KG"/>
    <tableColumn id="8" xr3:uid="{B2273E9E-65AC-4B91-8136-87689873C331}" name="Yield" dataDxfId="3"/>
    <tableColumn id="9" xr3:uid="{E3FB23BD-178D-445B-9EF6-99B706A819D7}" name="Throughput_KG/HR" dataDxf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9668D0-B8E7-43B7-98A1-E6334604FAC5}" name="Table3" displayName="Table3" ref="A1:F201" totalsRowShown="0">
  <autoFilter ref="A1:F201" xr:uid="{589668D0-B8E7-43B7-98A1-E6334604FAC5}"/>
  <tableColumns count="6">
    <tableColumn id="1" xr3:uid="{75EDA6F9-F3E7-4549-B80D-11D355616036}" name="Quality_ID"/>
    <tableColumn id="2" xr3:uid="{67B7B3E7-51CA-49ED-9CF8-CA81E857D405}" name="Batch_ID"/>
    <tableColumn id="3" xr3:uid="{AC822DFD-81BC-4EF6-AC9F-9DCDDD987885}" name="Material"/>
    <tableColumn id="4" xr3:uid="{5F55E428-D69D-4E59-AF31-508D01E15A21}" name="Contamination_Percent" dataDxfId="1"/>
    <tableColumn id="5" xr3:uid="{5FF2CABE-593A-44FC-897C-42985AF1A18D}" name="Rejected_Kilograms"/>
    <tableColumn id="6" xr3:uid="{9547B568-4FCE-44AF-B088-DB4824841436}" name="Quality_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5A3BC8-BECF-4C25-A476-AF3E224ECFF6}" name="Table2" displayName="Table2" ref="A1:E201" totalsRowShown="0">
  <autoFilter ref="A1:E201" xr:uid="{255A3BC8-BECF-4C25-A476-AF3E224ECFF6}"/>
  <tableColumns count="5">
    <tableColumn id="1" xr3:uid="{926BB971-020B-41C1-8B27-C3088657FFAF}" name="Event_ID"/>
    <tableColumn id="2" xr3:uid="{684848D6-EB1A-43F3-8C3B-6CDD76E923F9}" name="Date" dataDxfId="0"/>
    <tableColumn id="3" xr3:uid="{3194A61F-537E-47DB-A269-1858008DCC7A}" name="Machine"/>
    <tableColumn id="4" xr3:uid="{46301F78-859B-4958-8F23-5A18C0116F70}" name="Downtime_Reason"/>
    <tableColumn id="5" xr3:uid="{991F04D4-6BF7-42DF-A737-092C9673D1C0}" name="Downtime_Dur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77C30-CA94-4600-8DAA-D6DEB40B9A3C}">
  <dimension ref="A1:D31"/>
  <sheetViews>
    <sheetView tabSelected="1" topLeftCell="A2" workbookViewId="0">
      <selection activeCell="E14" sqref="E14"/>
    </sheetView>
  </sheetViews>
  <sheetFormatPr defaultColWidth="18.664062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1220</v>
      </c>
    </row>
    <row r="2" spans="1:4" x14ac:dyDescent="0.3">
      <c r="A2" t="s">
        <v>689</v>
      </c>
      <c r="B2" t="s">
        <v>1178</v>
      </c>
      <c r="C2" t="s">
        <v>1186</v>
      </c>
      <c r="D2" t="s">
        <v>1180</v>
      </c>
    </row>
    <row r="3" spans="1:4" x14ac:dyDescent="0.3">
      <c r="A3" t="s">
        <v>659</v>
      </c>
      <c r="B3" t="s">
        <v>1181</v>
      </c>
      <c r="C3" t="s">
        <v>1182</v>
      </c>
      <c r="D3" t="s">
        <v>1180</v>
      </c>
    </row>
    <row r="4" spans="1:4" x14ac:dyDescent="0.3">
      <c r="A4" t="s">
        <v>653</v>
      </c>
      <c r="B4" t="s">
        <v>1183</v>
      </c>
      <c r="C4" t="s">
        <v>1186</v>
      </c>
      <c r="D4" t="s">
        <v>1198</v>
      </c>
    </row>
    <row r="5" spans="1:4" x14ac:dyDescent="0.3">
      <c r="A5" t="s">
        <v>717</v>
      </c>
      <c r="B5" t="s">
        <v>1185</v>
      </c>
      <c r="C5" t="s">
        <v>1195</v>
      </c>
      <c r="D5" t="s">
        <v>1196</v>
      </c>
    </row>
    <row r="6" spans="1:4" x14ac:dyDescent="0.3">
      <c r="A6" t="s">
        <v>703</v>
      </c>
      <c r="B6" t="s">
        <v>1187</v>
      </c>
      <c r="C6" t="s">
        <v>1184</v>
      </c>
      <c r="D6" t="s">
        <v>1198</v>
      </c>
    </row>
    <row r="7" spans="1:4" x14ac:dyDescent="0.3">
      <c r="A7" t="s">
        <v>712</v>
      </c>
      <c r="B7" t="s">
        <v>1189</v>
      </c>
      <c r="C7" t="s">
        <v>1184</v>
      </c>
      <c r="D7" t="s">
        <v>1198</v>
      </c>
    </row>
    <row r="8" spans="1:4" x14ac:dyDescent="0.3">
      <c r="A8" t="s">
        <v>666</v>
      </c>
      <c r="B8" t="s">
        <v>1191</v>
      </c>
      <c r="C8" t="s">
        <v>1186</v>
      </c>
      <c r="D8" t="s">
        <v>1190</v>
      </c>
    </row>
    <row r="9" spans="1:4" x14ac:dyDescent="0.3">
      <c r="A9" t="s">
        <v>682</v>
      </c>
      <c r="B9" t="s">
        <v>1193</v>
      </c>
      <c r="C9" t="s">
        <v>1182</v>
      </c>
      <c r="D9" t="s">
        <v>1198</v>
      </c>
    </row>
    <row r="10" spans="1:4" x14ac:dyDescent="0.3">
      <c r="A10" t="s">
        <v>705</v>
      </c>
      <c r="B10" t="s">
        <v>1194</v>
      </c>
      <c r="C10" t="s">
        <v>1188</v>
      </c>
      <c r="D10" t="s">
        <v>1196</v>
      </c>
    </row>
    <row r="11" spans="1:4" x14ac:dyDescent="0.3">
      <c r="A11" t="s">
        <v>673</v>
      </c>
      <c r="B11" t="s">
        <v>1197</v>
      </c>
      <c r="C11" t="s">
        <v>1184</v>
      </c>
      <c r="D11" t="s">
        <v>1190</v>
      </c>
    </row>
    <row r="12" spans="1:4" x14ac:dyDescent="0.3">
      <c r="A12" t="s">
        <v>668</v>
      </c>
      <c r="B12" t="s">
        <v>1199</v>
      </c>
      <c r="C12" t="s">
        <v>1186</v>
      </c>
      <c r="D12" t="s">
        <v>1190</v>
      </c>
    </row>
    <row r="13" spans="1:4" x14ac:dyDescent="0.3">
      <c r="A13" t="s">
        <v>670</v>
      </c>
      <c r="B13" t="s">
        <v>1201</v>
      </c>
      <c r="C13" t="s">
        <v>1184</v>
      </c>
      <c r="D13" t="s">
        <v>1180</v>
      </c>
    </row>
    <row r="14" spans="1:4" x14ac:dyDescent="0.3">
      <c r="A14" t="s">
        <v>686</v>
      </c>
      <c r="B14" t="s">
        <v>1202</v>
      </c>
      <c r="C14" t="s">
        <v>1182</v>
      </c>
      <c r="D14" t="s">
        <v>1196</v>
      </c>
    </row>
    <row r="15" spans="1:4" x14ac:dyDescent="0.3">
      <c r="A15" t="s">
        <v>710</v>
      </c>
      <c r="B15" t="s">
        <v>1203</v>
      </c>
      <c r="C15" t="s">
        <v>1179</v>
      </c>
      <c r="D15" t="s">
        <v>1180</v>
      </c>
    </row>
    <row r="16" spans="1:4" x14ac:dyDescent="0.3">
      <c r="A16" t="s">
        <v>697</v>
      </c>
      <c r="B16" t="s">
        <v>1204</v>
      </c>
      <c r="C16" t="s">
        <v>1186</v>
      </c>
      <c r="D16" t="s">
        <v>1190</v>
      </c>
    </row>
    <row r="17" spans="1:4" x14ac:dyDescent="0.3">
      <c r="A17" t="s">
        <v>773</v>
      </c>
      <c r="B17" t="s">
        <v>1205</v>
      </c>
      <c r="C17" t="s">
        <v>1192</v>
      </c>
      <c r="D17" t="s">
        <v>1196</v>
      </c>
    </row>
    <row r="18" spans="1:4" x14ac:dyDescent="0.3">
      <c r="A18" t="s">
        <v>649</v>
      </c>
      <c r="B18" t="s">
        <v>1206</v>
      </c>
      <c r="C18" t="s">
        <v>1186</v>
      </c>
      <c r="D18" t="s">
        <v>1180</v>
      </c>
    </row>
    <row r="19" spans="1:4" x14ac:dyDescent="0.3">
      <c r="A19" t="s">
        <v>663</v>
      </c>
      <c r="B19" t="s">
        <v>1207</v>
      </c>
      <c r="C19" t="s">
        <v>1200</v>
      </c>
      <c r="D19" t="s">
        <v>1198</v>
      </c>
    </row>
    <row r="20" spans="1:4" x14ac:dyDescent="0.3">
      <c r="A20" t="s">
        <v>714</v>
      </c>
      <c r="B20" t="s">
        <v>1208</v>
      </c>
      <c r="C20" t="s">
        <v>1182</v>
      </c>
      <c r="D20" t="s">
        <v>1198</v>
      </c>
    </row>
    <row r="21" spans="1:4" x14ac:dyDescent="0.3">
      <c r="A21" t="s">
        <v>707</v>
      </c>
      <c r="B21" t="s">
        <v>1209</v>
      </c>
      <c r="C21" t="s">
        <v>1184</v>
      </c>
      <c r="D21" t="s">
        <v>1196</v>
      </c>
    </row>
    <row r="22" spans="1:4" x14ac:dyDescent="0.3">
      <c r="A22" t="s">
        <v>657</v>
      </c>
      <c r="B22" t="s">
        <v>1210</v>
      </c>
      <c r="C22" t="s">
        <v>1186</v>
      </c>
      <c r="D22" t="s">
        <v>1196</v>
      </c>
    </row>
    <row r="23" spans="1:4" x14ac:dyDescent="0.3">
      <c r="A23" t="s">
        <v>680</v>
      </c>
      <c r="B23" t="s">
        <v>1211</v>
      </c>
      <c r="C23" t="s">
        <v>1192</v>
      </c>
      <c r="D23" t="s">
        <v>1180</v>
      </c>
    </row>
    <row r="24" spans="1:4" x14ac:dyDescent="0.3">
      <c r="A24" t="s">
        <v>661</v>
      </c>
      <c r="B24" t="s">
        <v>1212</v>
      </c>
      <c r="C24" t="s">
        <v>1186</v>
      </c>
      <c r="D24" t="s">
        <v>1198</v>
      </c>
    </row>
    <row r="25" spans="1:4" x14ac:dyDescent="0.3">
      <c r="A25" t="s">
        <v>646</v>
      </c>
      <c r="B25" t="s">
        <v>1213</v>
      </c>
      <c r="C25" t="s">
        <v>1192</v>
      </c>
      <c r="D25" t="s">
        <v>1198</v>
      </c>
    </row>
    <row r="26" spans="1:4" x14ac:dyDescent="0.3">
      <c r="A26" t="s">
        <v>691</v>
      </c>
      <c r="B26" t="s">
        <v>1214</v>
      </c>
      <c r="C26" t="s">
        <v>1179</v>
      </c>
      <c r="D26" t="s">
        <v>1180</v>
      </c>
    </row>
    <row r="27" spans="1:4" x14ac:dyDescent="0.3">
      <c r="A27" t="s">
        <v>676</v>
      </c>
      <c r="B27" t="s">
        <v>1215</v>
      </c>
      <c r="C27" t="s">
        <v>1195</v>
      </c>
      <c r="D27" t="s">
        <v>1180</v>
      </c>
    </row>
    <row r="28" spans="1:4" x14ac:dyDescent="0.3">
      <c r="A28" t="s">
        <v>651</v>
      </c>
      <c r="B28" t="s">
        <v>1216</v>
      </c>
      <c r="C28" t="s">
        <v>1184</v>
      </c>
      <c r="D28" t="s">
        <v>1198</v>
      </c>
    </row>
    <row r="29" spans="1:4" x14ac:dyDescent="0.3">
      <c r="A29" t="s">
        <v>729</v>
      </c>
      <c r="B29" t="s">
        <v>1217</v>
      </c>
      <c r="C29" t="s">
        <v>1200</v>
      </c>
      <c r="D29" t="s">
        <v>1190</v>
      </c>
    </row>
    <row r="30" spans="1:4" x14ac:dyDescent="0.3">
      <c r="A30" t="s">
        <v>808</v>
      </c>
      <c r="B30" t="s">
        <v>1218</v>
      </c>
      <c r="C30" t="s">
        <v>1195</v>
      </c>
      <c r="D30" t="s">
        <v>1196</v>
      </c>
    </row>
    <row r="31" spans="1:4" x14ac:dyDescent="0.3">
      <c r="A31" t="s">
        <v>786</v>
      </c>
      <c r="B31" t="s">
        <v>1219</v>
      </c>
      <c r="C31" t="s">
        <v>1184</v>
      </c>
      <c r="D31" t="s">
        <v>1190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10B9C-DB6F-4358-B6F2-8DE0D6943F5D}">
  <dimension ref="A1:G501"/>
  <sheetViews>
    <sheetView topLeftCell="A2" workbookViewId="0">
      <selection activeCell="D14" sqref="D14"/>
    </sheetView>
  </sheetViews>
  <sheetFormatPr defaultColWidth="26.6640625" defaultRowHeight="14.4" x14ac:dyDescent="0.3"/>
  <sheetData>
    <row r="1" spans="1:7" x14ac:dyDescent="0.3">
      <c r="A1" t="s">
        <v>3</v>
      </c>
      <c r="B1" t="s">
        <v>0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3">
      <c r="A2" s="1" t="s">
        <v>645</v>
      </c>
      <c r="B2" t="s">
        <v>646</v>
      </c>
      <c r="C2" s="2">
        <v>46253</v>
      </c>
      <c r="D2" t="s">
        <v>252</v>
      </c>
      <c r="E2">
        <v>454</v>
      </c>
      <c r="F2">
        <v>54</v>
      </c>
      <c r="G2" t="s">
        <v>647</v>
      </c>
    </row>
    <row r="3" spans="1:7" x14ac:dyDescent="0.3">
      <c r="A3" s="1" t="s">
        <v>648</v>
      </c>
      <c r="B3" t="s">
        <v>649</v>
      </c>
      <c r="C3" s="2">
        <v>46367</v>
      </c>
      <c r="D3" t="s">
        <v>244</v>
      </c>
      <c r="E3">
        <v>752</v>
      </c>
      <c r="F3">
        <v>43</v>
      </c>
      <c r="G3" t="s">
        <v>647</v>
      </c>
    </row>
    <row r="4" spans="1:7" x14ac:dyDescent="0.3">
      <c r="A4" s="1" t="s">
        <v>650</v>
      </c>
      <c r="B4" t="s">
        <v>651</v>
      </c>
      <c r="C4" s="2">
        <v>46373</v>
      </c>
      <c r="D4" t="s">
        <v>257</v>
      </c>
      <c r="E4">
        <v>299</v>
      </c>
      <c r="F4">
        <v>11</v>
      </c>
      <c r="G4" t="s">
        <v>647</v>
      </c>
    </row>
    <row r="5" spans="1:7" x14ac:dyDescent="0.3">
      <c r="A5" s="1" t="s">
        <v>652</v>
      </c>
      <c r="B5" t="s">
        <v>653</v>
      </c>
      <c r="C5" s="2">
        <v>46269</v>
      </c>
      <c r="D5" t="s">
        <v>257</v>
      </c>
      <c r="E5">
        <v>538</v>
      </c>
      <c r="F5">
        <v>34</v>
      </c>
      <c r="G5" t="s">
        <v>647</v>
      </c>
    </row>
    <row r="6" spans="1:7" x14ac:dyDescent="0.3">
      <c r="A6" s="1" t="s">
        <v>654</v>
      </c>
      <c r="B6" t="s">
        <v>646</v>
      </c>
      <c r="C6" s="2">
        <v>46135</v>
      </c>
      <c r="D6" t="s">
        <v>655</v>
      </c>
      <c r="E6">
        <v>696</v>
      </c>
      <c r="F6">
        <v>34</v>
      </c>
      <c r="G6" t="s">
        <v>647</v>
      </c>
    </row>
    <row r="7" spans="1:7" x14ac:dyDescent="0.3">
      <c r="A7" s="1" t="s">
        <v>656</v>
      </c>
      <c r="B7" t="s">
        <v>657</v>
      </c>
      <c r="C7" s="2">
        <v>46196</v>
      </c>
      <c r="D7" t="s">
        <v>244</v>
      </c>
      <c r="E7">
        <v>892</v>
      </c>
      <c r="F7">
        <v>25</v>
      </c>
      <c r="G7" t="s">
        <v>647</v>
      </c>
    </row>
    <row r="8" spans="1:7" x14ac:dyDescent="0.3">
      <c r="A8" s="1" t="s">
        <v>658</v>
      </c>
      <c r="B8" t="s">
        <v>659</v>
      </c>
      <c r="C8" s="2">
        <v>46292</v>
      </c>
      <c r="D8" t="s">
        <v>252</v>
      </c>
      <c r="E8">
        <v>805</v>
      </c>
      <c r="F8">
        <v>20</v>
      </c>
      <c r="G8" t="s">
        <v>647</v>
      </c>
    </row>
    <row r="9" spans="1:7" x14ac:dyDescent="0.3">
      <c r="A9" s="1" t="s">
        <v>660</v>
      </c>
      <c r="B9" t="s">
        <v>661</v>
      </c>
      <c r="C9" s="2">
        <v>46369</v>
      </c>
      <c r="D9" t="s">
        <v>252</v>
      </c>
      <c r="E9">
        <v>638</v>
      </c>
      <c r="F9">
        <v>13</v>
      </c>
      <c r="G9" t="s">
        <v>647</v>
      </c>
    </row>
    <row r="10" spans="1:7" x14ac:dyDescent="0.3">
      <c r="A10" s="1" t="s">
        <v>662</v>
      </c>
      <c r="B10" t="s">
        <v>663</v>
      </c>
      <c r="C10" s="2">
        <v>46029</v>
      </c>
      <c r="D10" t="s">
        <v>278</v>
      </c>
      <c r="E10">
        <v>384</v>
      </c>
      <c r="F10">
        <v>26</v>
      </c>
      <c r="G10" t="s">
        <v>647</v>
      </c>
    </row>
    <row r="11" spans="1:7" x14ac:dyDescent="0.3">
      <c r="A11" s="1" t="s">
        <v>664</v>
      </c>
      <c r="B11" t="s">
        <v>663</v>
      </c>
      <c r="C11" s="2">
        <v>46037</v>
      </c>
      <c r="D11" t="s">
        <v>257</v>
      </c>
      <c r="E11">
        <v>715</v>
      </c>
      <c r="F11">
        <v>38</v>
      </c>
      <c r="G11" t="s">
        <v>647</v>
      </c>
    </row>
    <row r="12" spans="1:7" x14ac:dyDescent="0.3">
      <c r="A12" s="1" t="s">
        <v>665</v>
      </c>
      <c r="B12" t="s">
        <v>666</v>
      </c>
      <c r="C12" s="2">
        <v>46332</v>
      </c>
      <c r="D12" t="s">
        <v>244</v>
      </c>
      <c r="E12">
        <v>500</v>
      </c>
      <c r="F12">
        <v>9</v>
      </c>
      <c r="G12" t="s">
        <v>647</v>
      </c>
    </row>
    <row r="13" spans="1:7" x14ac:dyDescent="0.3">
      <c r="A13" s="1" t="s">
        <v>667</v>
      </c>
      <c r="B13" t="s">
        <v>668</v>
      </c>
      <c r="C13" s="2">
        <v>46250</v>
      </c>
      <c r="D13" t="s">
        <v>278</v>
      </c>
      <c r="E13">
        <v>224</v>
      </c>
      <c r="F13">
        <v>16</v>
      </c>
      <c r="G13" t="s">
        <v>647</v>
      </c>
    </row>
    <row r="14" spans="1:7" x14ac:dyDescent="0.3">
      <c r="A14" s="1" t="s">
        <v>669</v>
      </c>
      <c r="B14" t="s">
        <v>670</v>
      </c>
      <c r="C14" s="2">
        <v>46060</v>
      </c>
      <c r="D14" t="s">
        <v>244</v>
      </c>
      <c r="E14">
        <v>931</v>
      </c>
      <c r="F14">
        <v>32</v>
      </c>
      <c r="G14" t="s">
        <v>647</v>
      </c>
    </row>
    <row r="15" spans="1:7" x14ac:dyDescent="0.3">
      <c r="A15" s="1" t="s">
        <v>671</v>
      </c>
      <c r="B15" t="s">
        <v>666</v>
      </c>
      <c r="C15" s="2">
        <v>46373</v>
      </c>
      <c r="D15" t="s">
        <v>257</v>
      </c>
      <c r="E15">
        <v>867</v>
      </c>
      <c r="F15">
        <v>29</v>
      </c>
      <c r="G15" t="s">
        <v>647</v>
      </c>
    </row>
    <row r="16" spans="1:7" x14ac:dyDescent="0.3">
      <c r="A16" s="1" t="s">
        <v>672</v>
      </c>
      <c r="B16" t="s">
        <v>673</v>
      </c>
      <c r="C16" s="2">
        <v>46272</v>
      </c>
      <c r="D16" t="s">
        <v>244</v>
      </c>
      <c r="E16">
        <v>1049</v>
      </c>
      <c r="F16">
        <v>55</v>
      </c>
      <c r="G16" t="s">
        <v>647</v>
      </c>
    </row>
    <row r="17" spans="1:7" x14ac:dyDescent="0.3">
      <c r="A17" s="1" t="s">
        <v>674</v>
      </c>
      <c r="B17" t="s">
        <v>646</v>
      </c>
      <c r="C17" s="2">
        <v>46347</v>
      </c>
      <c r="D17" t="s">
        <v>244</v>
      </c>
      <c r="E17">
        <v>481</v>
      </c>
      <c r="F17">
        <v>6</v>
      </c>
      <c r="G17" t="s">
        <v>647</v>
      </c>
    </row>
    <row r="18" spans="1:7" x14ac:dyDescent="0.3">
      <c r="A18" s="1" t="s">
        <v>675</v>
      </c>
      <c r="B18" t="s">
        <v>676</v>
      </c>
      <c r="C18" s="2">
        <v>46320</v>
      </c>
      <c r="D18" t="s">
        <v>278</v>
      </c>
      <c r="E18">
        <v>1002</v>
      </c>
      <c r="F18">
        <v>34</v>
      </c>
      <c r="G18" t="s">
        <v>677</v>
      </c>
    </row>
    <row r="19" spans="1:7" x14ac:dyDescent="0.3">
      <c r="A19" s="1" t="s">
        <v>678</v>
      </c>
      <c r="B19" t="s">
        <v>666</v>
      </c>
      <c r="C19" s="2">
        <v>46364</v>
      </c>
      <c r="D19" t="s">
        <v>252</v>
      </c>
      <c r="E19">
        <v>656</v>
      </c>
      <c r="F19">
        <v>24</v>
      </c>
      <c r="G19" t="s">
        <v>647</v>
      </c>
    </row>
    <row r="20" spans="1:7" x14ac:dyDescent="0.3">
      <c r="A20" s="1" t="s">
        <v>679</v>
      </c>
      <c r="B20" t="s">
        <v>680</v>
      </c>
      <c r="C20" s="2">
        <v>46372</v>
      </c>
      <c r="D20" t="s">
        <v>278</v>
      </c>
      <c r="E20">
        <v>713</v>
      </c>
      <c r="F20">
        <v>50</v>
      </c>
      <c r="G20" t="s">
        <v>647</v>
      </c>
    </row>
    <row r="21" spans="1:7" x14ac:dyDescent="0.3">
      <c r="A21" s="1" t="s">
        <v>681</v>
      </c>
      <c r="B21" t="s">
        <v>682</v>
      </c>
      <c r="C21" s="2">
        <v>46030</v>
      </c>
      <c r="D21" t="s">
        <v>244</v>
      </c>
      <c r="E21">
        <v>566</v>
      </c>
      <c r="F21">
        <v>57</v>
      </c>
      <c r="G21" t="s">
        <v>647</v>
      </c>
    </row>
    <row r="22" spans="1:7" x14ac:dyDescent="0.3">
      <c r="A22" s="1" t="s">
        <v>683</v>
      </c>
      <c r="B22" t="s">
        <v>663</v>
      </c>
      <c r="C22" s="2">
        <v>46204</v>
      </c>
      <c r="D22" t="s">
        <v>257</v>
      </c>
      <c r="E22">
        <v>994</v>
      </c>
      <c r="F22">
        <v>50</v>
      </c>
      <c r="G22" t="s">
        <v>647</v>
      </c>
    </row>
    <row r="23" spans="1:7" x14ac:dyDescent="0.3">
      <c r="A23" s="1" t="s">
        <v>684</v>
      </c>
      <c r="B23" t="s">
        <v>653</v>
      </c>
      <c r="C23" s="2">
        <v>46031</v>
      </c>
      <c r="D23" t="s">
        <v>244</v>
      </c>
      <c r="E23">
        <v>497</v>
      </c>
      <c r="F23">
        <v>17</v>
      </c>
      <c r="G23" t="s">
        <v>677</v>
      </c>
    </row>
    <row r="24" spans="1:7" x14ac:dyDescent="0.3">
      <c r="A24" s="1" t="s">
        <v>685</v>
      </c>
      <c r="B24" t="s">
        <v>686</v>
      </c>
      <c r="C24" s="2">
        <v>46366</v>
      </c>
      <c r="D24" t="s">
        <v>244</v>
      </c>
      <c r="E24">
        <v>505</v>
      </c>
      <c r="F24">
        <v>14</v>
      </c>
      <c r="G24" t="s">
        <v>677</v>
      </c>
    </row>
    <row r="25" spans="1:7" x14ac:dyDescent="0.3">
      <c r="A25" s="1" t="s">
        <v>687</v>
      </c>
      <c r="B25" t="s">
        <v>646</v>
      </c>
      <c r="C25" s="2">
        <v>46295</v>
      </c>
      <c r="D25" t="s">
        <v>244</v>
      </c>
      <c r="E25">
        <v>706</v>
      </c>
      <c r="F25">
        <v>10</v>
      </c>
      <c r="G25" t="s">
        <v>647</v>
      </c>
    </row>
    <row r="26" spans="1:7" x14ac:dyDescent="0.3">
      <c r="A26" s="1" t="s">
        <v>688</v>
      </c>
      <c r="B26" t="s">
        <v>689</v>
      </c>
      <c r="C26" s="2">
        <v>46367</v>
      </c>
      <c r="D26" t="s">
        <v>252</v>
      </c>
      <c r="E26">
        <v>688</v>
      </c>
      <c r="F26">
        <v>19</v>
      </c>
      <c r="G26" t="s">
        <v>647</v>
      </c>
    </row>
    <row r="27" spans="1:7" x14ac:dyDescent="0.3">
      <c r="A27" s="1" t="s">
        <v>690</v>
      </c>
      <c r="B27" t="s">
        <v>691</v>
      </c>
      <c r="C27" s="2">
        <v>46211</v>
      </c>
      <c r="D27" t="s">
        <v>252</v>
      </c>
      <c r="E27">
        <v>584</v>
      </c>
      <c r="F27">
        <v>10</v>
      </c>
      <c r="G27" t="s">
        <v>647</v>
      </c>
    </row>
    <row r="28" spans="1:7" x14ac:dyDescent="0.3">
      <c r="A28" s="1" t="s">
        <v>692</v>
      </c>
      <c r="B28" t="s">
        <v>691</v>
      </c>
      <c r="C28" s="2">
        <v>46054</v>
      </c>
      <c r="D28" t="s">
        <v>278</v>
      </c>
      <c r="E28">
        <v>465</v>
      </c>
      <c r="F28">
        <v>6</v>
      </c>
      <c r="G28" t="s">
        <v>647</v>
      </c>
    </row>
    <row r="29" spans="1:7" x14ac:dyDescent="0.3">
      <c r="A29" s="1" t="s">
        <v>693</v>
      </c>
      <c r="B29" t="s">
        <v>682</v>
      </c>
      <c r="C29" s="2">
        <v>46232</v>
      </c>
      <c r="D29" t="s">
        <v>252</v>
      </c>
      <c r="E29">
        <v>582</v>
      </c>
      <c r="F29">
        <v>14</v>
      </c>
      <c r="G29" t="s">
        <v>647</v>
      </c>
    </row>
    <row r="30" spans="1:7" x14ac:dyDescent="0.3">
      <c r="A30" s="1" t="s">
        <v>694</v>
      </c>
      <c r="B30" t="s">
        <v>689</v>
      </c>
      <c r="C30" s="2">
        <v>46037</v>
      </c>
      <c r="D30" t="s">
        <v>244</v>
      </c>
      <c r="E30">
        <v>1146</v>
      </c>
      <c r="F30">
        <v>32</v>
      </c>
      <c r="G30" t="s">
        <v>677</v>
      </c>
    </row>
    <row r="31" spans="1:7" x14ac:dyDescent="0.3">
      <c r="A31" s="1" t="s">
        <v>695</v>
      </c>
      <c r="B31" t="s">
        <v>680</v>
      </c>
      <c r="C31" s="2">
        <v>46180</v>
      </c>
      <c r="D31" t="s">
        <v>257</v>
      </c>
      <c r="E31">
        <v>208</v>
      </c>
      <c r="F31">
        <v>31</v>
      </c>
      <c r="G31" t="s">
        <v>647</v>
      </c>
    </row>
    <row r="32" spans="1:7" x14ac:dyDescent="0.3">
      <c r="A32" s="1" t="s">
        <v>696</v>
      </c>
      <c r="B32" t="s">
        <v>697</v>
      </c>
      <c r="C32" s="2">
        <v>46294</v>
      </c>
      <c r="D32" t="s">
        <v>244</v>
      </c>
      <c r="E32">
        <v>920</v>
      </c>
      <c r="F32">
        <v>10</v>
      </c>
      <c r="G32" t="s">
        <v>677</v>
      </c>
    </row>
    <row r="33" spans="1:7" x14ac:dyDescent="0.3">
      <c r="A33" s="1" t="s">
        <v>698</v>
      </c>
      <c r="B33" t="s">
        <v>663</v>
      </c>
      <c r="C33" s="2">
        <v>46095</v>
      </c>
      <c r="D33" t="s">
        <v>244</v>
      </c>
      <c r="E33">
        <v>884</v>
      </c>
      <c r="F33">
        <v>18</v>
      </c>
      <c r="G33" t="s">
        <v>647</v>
      </c>
    </row>
    <row r="34" spans="1:7" x14ac:dyDescent="0.3">
      <c r="A34" s="1" t="s">
        <v>699</v>
      </c>
      <c r="B34" t="s">
        <v>691</v>
      </c>
      <c r="C34" s="2">
        <v>46196</v>
      </c>
      <c r="D34" t="s">
        <v>278</v>
      </c>
      <c r="E34">
        <v>782</v>
      </c>
      <c r="F34">
        <v>38</v>
      </c>
      <c r="G34" t="s">
        <v>647</v>
      </c>
    </row>
    <row r="35" spans="1:7" x14ac:dyDescent="0.3">
      <c r="A35" s="1" t="s">
        <v>700</v>
      </c>
      <c r="B35" t="s">
        <v>697</v>
      </c>
      <c r="C35" s="2">
        <v>46299</v>
      </c>
      <c r="D35" t="s">
        <v>257</v>
      </c>
      <c r="E35">
        <v>1124</v>
      </c>
      <c r="F35">
        <v>27</v>
      </c>
      <c r="G35" t="s">
        <v>647</v>
      </c>
    </row>
    <row r="36" spans="1:7" x14ac:dyDescent="0.3">
      <c r="A36" s="1" t="s">
        <v>701</v>
      </c>
      <c r="B36" t="s">
        <v>676</v>
      </c>
      <c r="C36" s="2">
        <v>46156</v>
      </c>
      <c r="D36" t="s">
        <v>244</v>
      </c>
      <c r="E36">
        <v>835</v>
      </c>
      <c r="F36">
        <v>20</v>
      </c>
      <c r="G36" t="s">
        <v>647</v>
      </c>
    </row>
    <row r="37" spans="1:7" x14ac:dyDescent="0.3">
      <c r="A37" s="1" t="s">
        <v>702</v>
      </c>
      <c r="B37" t="s">
        <v>703</v>
      </c>
      <c r="C37" s="2">
        <v>46380</v>
      </c>
      <c r="D37" t="s">
        <v>244</v>
      </c>
      <c r="E37">
        <v>925</v>
      </c>
      <c r="F37">
        <v>32</v>
      </c>
      <c r="G37" t="s">
        <v>647</v>
      </c>
    </row>
    <row r="38" spans="1:7" x14ac:dyDescent="0.3">
      <c r="A38" s="1" t="s">
        <v>704</v>
      </c>
      <c r="B38" t="s">
        <v>705</v>
      </c>
      <c r="C38" s="2">
        <v>46072</v>
      </c>
      <c r="D38" t="s">
        <v>244</v>
      </c>
      <c r="E38">
        <v>845</v>
      </c>
      <c r="F38">
        <v>20</v>
      </c>
      <c r="G38" t="s">
        <v>647</v>
      </c>
    </row>
    <row r="39" spans="1:7" x14ac:dyDescent="0.3">
      <c r="A39" s="1" t="s">
        <v>706</v>
      </c>
      <c r="B39" t="s">
        <v>707</v>
      </c>
      <c r="C39" s="2">
        <v>46197</v>
      </c>
      <c r="D39" t="s">
        <v>252</v>
      </c>
      <c r="E39">
        <v>574</v>
      </c>
      <c r="F39">
        <v>31</v>
      </c>
      <c r="G39" t="s">
        <v>647</v>
      </c>
    </row>
    <row r="40" spans="1:7" x14ac:dyDescent="0.3">
      <c r="A40" s="1" t="s">
        <v>708</v>
      </c>
      <c r="B40" t="s">
        <v>670</v>
      </c>
      <c r="C40" s="2">
        <v>46088</v>
      </c>
      <c r="D40" t="s">
        <v>244</v>
      </c>
      <c r="E40">
        <v>280</v>
      </c>
      <c r="F40">
        <v>53</v>
      </c>
      <c r="G40" t="s">
        <v>647</v>
      </c>
    </row>
    <row r="41" spans="1:7" x14ac:dyDescent="0.3">
      <c r="A41" s="1" t="s">
        <v>709</v>
      </c>
      <c r="B41" t="s">
        <v>710</v>
      </c>
      <c r="C41" s="2">
        <v>46141</v>
      </c>
      <c r="D41" t="s">
        <v>252</v>
      </c>
      <c r="E41">
        <v>1166</v>
      </c>
      <c r="F41">
        <v>45</v>
      </c>
      <c r="G41" t="s">
        <v>647</v>
      </c>
    </row>
    <row r="42" spans="1:7" x14ac:dyDescent="0.3">
      <c r="A42" s="1" t="s">
        <v>711</v>
      </c>
      <c r="B42" t="s">
        <v>712</v>
      </c>
      <c r="C42" s="2">
        <v>46145</v>
      </c>
      <c r="D42" t="s">
        <v>252</v>
      </c>
      <c r="E42">
        <v>683</v>
      </c>
      <c r="F42">
        <v>33</v>
      </c>
      <c r="G42" t="s">
        <v>647</v>
      </c>
    </row>
    <row r="43" spans="1:7" x14ac:dyDescent="0.3">
      <c r="A43" s="1" t="s">
        <v>713</v>
      </c>
      <c r="B43" t="s">
        <v>714</v>
      </c>
      <c r="C43" s="2">
        <v>46180</v>
      </c>
      <c r="D43" t="s">
        <v>278</v>
      </c>
      <c r="E43">
        <v>705</v>
      </c>
      <c r="F43">
        <v>54</v>
      </c>
      <c r="G43" t="s">
        <v>647</v>
      </c>
    </row>
    <row r="44" spans="1:7" x14ac:dyDescent="0.3">
      <c r="A44" s="1" t="s">
        <v>715</v>
      </c>
      <c r="B44" t="s">
        <v>697</v>
      </c>
      <c r="C44" s="2">
        <v>46244</v>
      </c>
      <c r="D44" t="s">
        <v>257</v>
      </c>
      <c r="E44">
        <v>348</v>
      </c>
      <c r="F44">
        <v>18</v>
      </c>
      <c r="G44" t="s">
        <v>677</v>
      </c>
    </row>
    <row r="45" spans="1:7" x14ac:dyDescent="0.3">
      <c r="A45" s="1" t="s">
        <v>716</v>
      </c>
      <c r="B45" t="s">
        <v>717</v>
      </c>
      <c r="C45" s="2">
        <v>46189</v>
      </c>
      <c r="D45" t="s">
        <v>655</v>
      </c>
      <c r="E45">
        <v>445</v>
      </c>
      <c r="F45">
        <v>8</v>
      </c>
      <c r="G45" t="s">
        <v>647</v>
      </c>
    </row>
    <row r="46" spans="1:7" x14ac:dyDescent="0.3">
      <c r="A46" s="1" t="s">
        <v>718</v>
      </c>
      <c r="B46" t="s">
        <v>663</v>
      </c>
      <c r="C46" s="2">
        <v>46103</v>
      </c>
      <c r="D46" t="s">
        <v>278</v>
      </c>
      <c r="E46">
        <v>972</v>
      </c>
      <c r="F46">
        <v>22</v>
      </c>
      <c r="G46" t="s">
        <v>677</v>
      </c>
    </row>
    <row r="47" spans="1:7" x14ac:dyDescent="0.3">
      <c r="A47" s="1" t="s">
        <v>719</v>
      </c>
      <c r="B47" t="s">
        <v>661</v>
      </c>
      <c r="C47" s="2">
        <v>46187</v>
      </c>
      <c r="D47" t="s">
        <v>655</v>
      </c>
      <c r="E47">
        <v>1110</v>
      </c>
      <c r="F47">
        <v>16</v>
      </c>
      <c r="G47" t="s">
        <v>677</v>
      </c>
    </row>
    <row r="48" spans="1:7" x14ac:dyDescent="0.3">
      <c r="A48" s="1" t="s">
        <v>720</v>
      </c>
      <c r="B48" t="s">
        <v>707</v>
      </c>
      <c r="C48" s="2">
        <v>46302</v>
      </c>
      <c r="D48" t="s">
        <v>278</v>
      </c>
      <c r="E48">
        <v>719</v>
      </c>
      <c r="F48">
        <v>33</v>
      </c>
      <c r="G48" t="s">
        <v>647</v>
      </c>
    </row>
    <row r="49" spans="1:7" x14ac:dyDescent="0.3">
      <c r="A49" s="1" t="s">
        <v>721</v>
      </c>
      <c r="B49" t="s">
        <v>680</v>
      </c>
      <c r="C49" s="2">
        <v>46278</v>
      </c>
      <c r="D49" t="s">
        <v>655</v>
      </c>
      <c r="E49">
        <v>459</v>
      </c>
      <c r="F49">
        <v>43</v>
      </c>
      <c r="G49" t="s">
        <v>647</v>
      </c>
    </row>
    <row r="50" spans="1:7" x14ac:dyDescent="0.3">
      <c r="A50" s="1" t="s">
        <v>722</v>
      </c>
      <c r="B50" t="s">
        <v>666</v>
      </c>
      <c r="C50" s="2">
        <v>46095</v>
      </c>
      <c r="D50" t="s">
        <v>244</v>
      </c>
      <c r="E50">
        <v>862</v>
      </c>
      <c r="F50">
        <v>20</v>
      </c>
      <c r="G50" t="s">
        <v>647</v>
      </c>
    </row>
    <row r="51" spans="1:7" x14ac:dyDescent="0.3">
      <c r="A51" s="1" t="s">
        <v>723</v>
      </c>
      <c r="B51" t="s">
        <v>670</v>
      </c>
      <c r="C51" s="2">
        <v>46059</v>
      </c>
      <c r="D51" t="s">
        <v>257</v>
      </c>
      <c r="E51">
        <v>562</v>
      </c>
      <c r="F51">
        <v>38</v>
      </c>
      <c r="G51" t="s">
        <v>647</v>
      </c>
    </row>
    <row r="52" spans="1:7" x14ac:dyDescent="0.3">
      <c r="A52" s="1" t="s">
        <v>724</v>
      </c>
      <c r="B52" t="s">
        <v>710</v>
      </c>
      <c r="C52" s="2">
        <v>46302</v>
      </c>
      <c r="D52" t="s">
        <v>257</v>
      </c>
      <c r="E52">
        <v>1080</v>
      </c>
      <c r="F52">
        <v>38</v>
      </c>
      <c r="G52" t="s">
        <v>647</v>
      </c>
    </row>
    <row r="53" spans="1:7" x14ac:dyDescent="0.3">
      <c r="A53" s="1" t="s">
        <v>725</v>
      </c>
      <c r="B53" t="s">
        <v>680</v>
      </c>
      <c r="C53" s="2">
        <v>46279</v>
      </c>
      <c r="D53" t="s">
        <v>244</v>
      </c>
      <c r="E53">
        <v>502</v>
      </c>
      <c r="F53">
        <v>35</v>
      </c>
      <c r="G53" t="s">
        <v>647</v>
      </c>
    </row>
    <row r="54" spans="1:7" x14ac:dyDescent="0.3">
      <c r="A54" s="1" t="s">
        <v>726</v>
      </c>
      <c r="B54" t="s">
        <v>653</v>
      </c>
      <c r="C54" s="2">
        <v>46306</v>
      </c>
      <c r="D54" t="s">
        <v>278</v>
      </c>
      <c r="E54">
        <v>1132</v>
      </c>
      <c r="F54">
        <v>45</v>
      </c>
      <c r="G54" t="s">
        <v>647</v>
      </c>
    </row>
    <row r="55" spans="1:7" x14ac:dyDescent="0.3">
      <c r="A55" s="1" t="s">
        <v>727</v>
      </c>
      <c r="B55" t="s">
        <v>697</v>
      </c>
      <c r="C55" s="2">
        <v>46221</v>
      </c>
      <c r="D55" t="s">
        <v>244</v>
      </c>
      <c r="E55">
        <v>696</v>
      </c>
      <c r="F55">
        <v>45</v>
      </c>
      <c r="G55" t="s">
        <v>647</v>
      </c>
    </row>
    <row r="56" spans="1:7" x14ac:dyDescent="0.3">
      <c r="A56" s="1" t="s">
        <v>728</v>
      </c>
      <c r="B56" t="s">
        <v>729</v>
      </c>
      <c r="C56" s="2">
        <v>46091</v>
      </c>
      <c r="D56" t="s">
        <v>257</v>
      </c>
      <c r="E56">
        <v>905</v>
      </c>
      <c r="F56">
        <v>34</v>
      </c>
      <c r="G56" t="s">
        <v>647</v>
      </c>
    </row>
    <row r="57" spans="1:7" x14ac:dyDescent="0.3">
      <c r="A57" s="1" t="s">
        <v>730</v>
      </c>
      <c r="B57" t="s">
        <v>705</v>
      </c>
      <c r="C57" s="2">
        <v>46125</v>
      </c>
      <c r="D57" t="s">
        <v>244</v>
      </c>
      <c r="E57">
        <v>363</v>
      </c>
      <c r="F57">
        <v>16</v>
      </c>
      <c r="G57" t="s">
        <v>647</v>
      </c>
    </row>
    <row r="58" spans="1:7" x14ac:dyDescent="0.3">
      <c r="A58" s="1" t="s">
        <v>731</v>
      </c>
      <c r="B58" t="s">
        <v>673</v>
      </c>
      <c r="C58" s="2">
        <v>46262</v>
      </c>
      <c r="D58" t="s">
        <v>278</v>
      </c>
      <c r="E58">
        <v>390</v>
      </c>
      <c r="F58">
        <v>25</v>
      </c>
      <c r="G58" t="s">
        <v>677</v>
      </c>
    </row>
    <row r="59" spans="1:7" x14ac:dyDescent="0.3">
      <c r="A59" s="1" t="s">
        <v>732</v>
      </c>
      <c r="B59" t="s">
        <v>653</v>
      </c>
      <c r="C59" s="2">
        <v>46344</v>
      </c>
      <c r="D59" t="s">
        <v>655</v>
      </c>
      <c r="E59">
        <v>569</v>
      </c>
      <c r="F59">
        <v>29</v>
      </c>
      <c r="G59" t="s">
        <v>647</v>
      </c>
    </row>
    <row r="60" spans="1:7" x14ac:dyDescent="0.3">
      <c r="A60" s="1" t="s">
        <v>733</v>
      </c>
      <c r="B60" t="s">
        <v>676</v>
      </c>
      <c r="C60" s="2">
        <v>46096</v>
      </c>
      <c r="D60" t="s">
        <v>257</v>
      </c>
      <c r="E60">
        <v>1166</v>
      </c>
      <c r="F60">
        <v>11</v>
      </c>
      <c r="G60" t="s">
        <v>647</v>
      </c>
    </row>
    <row r="61" spans="1:7" x14ac:dyDescent="0.3">
      <c r="A61" s="1" t="s">
        <v>734</v>
      </c>
      <c r="B61" t="s">
        <v>682</v>
      </c>
      <c r="C61" s="2">
        <v>46210</v>
      </c>
      <c r="D61" t="s">
        <v>655</v>
      </c>
      <c r="E61">
        <v>770</v>
      </c>
      <c r="F61">
        <v>40</v>
      </c>
      <c r="G61" t="s">
        <v>647</v>
      </c>
    </row>
    <row r="62" spans="1:7" x14ac:dyDescent="0.3">
      <c r="A62" s="1" t="s">
        <v>735</v>
      </c>
      <c r="B62" t="s">
        <v>705</v>
      </c>
      <c r="C62" s="2">
        <v>46091</v>
      </c>
      <c r="D62" t="s">
        <v>655</v>
      </c>
      <c r="E62">
        <v>804</v>
      </c>
      <c r="F62">
        <v>35</v>
      </c>
      <c r="G62" t="s">
        <v>647</v>
      </c>
    </row>
    <row r="63" spans="1:7" x14ac:dyDescent="0.3">
      <c r="A63" s="1" t="s">
        <v>736</v>
      </c>
      <c r="B63" t="s">
        <v>686</v>
      </c>
      <c r="C63" s="2">
        <v>46256</v>
      </c>
      <c r="D63" t="s">
        <v>278</v>
      </c>
      <c r="E63">
        <v>516</v>
      </c>
      <c r="F63">
        <v>14</v>
      </c>
      <c r="G63" t="s">
        <v>677</v>
      </c>
    </row>
    <row r="64" spans="1:7" x14ac:dyDescent="0.3">
      <c r="A64" s="1" t="s">
        <v>737</v>
      </c>
      <c r="B64" t="s">
        <v>680</v>
      </c>
      <c r="C64" s="2">
        <v>46105</v>
      </c>
      <c r="D64" t="s">
        <v>244</v>
      </c>
      <c r="E64">
        <v>364</v>
      </c>
      <c r="F64">
        <v>42</v>
      </c>
      <c r="G64" t="s">
        <v>647</v>
      </c>
    </row>
    <row r="65" spans="1:7" x14ac:dyDescent="0.3">
      <c r="A65" s="1" t="s">
        <v>738</v>
      </c>
      <c r="B65" t="s">
        <v>714</v>
      </c>
      <c r="C65" s="2">
        <v>46280</v>
      </c>
      <c r="D65" t="s">
        <v>252</v>
      </c>
      <c r="E65">
        <v>1124</v>
      </c>
      <c r="F65">
        <v>53</v>
      </c>
      <c r="G65" t="s">
        <v>647</v>
      </c>
    </row>
    <row r="66" spans="1:7" x14ac:dyDescent="0.3">
      <c r="A66" s="1" t="s">
        <v>739</v>
      </c>
      <c r="B66" t="s">
        <v>729</v>
      </c>
      <c r="C66" s="2">
        <v>46241</v>
      </c>
      <c r="D66" t="s">
        <v>278</v>
      </c>
      <c r="E66">
        <v>830</v>
      </c>
      <c r="F66">
        <v>34</v>
      </c>
      <c r="G66" t="s">
        <v>647</v>
      </c>
    </row>
    <row r="67" spans="1:7" x14ac:dyDescent="0.3">
      <c r="A67" s="1" t="s">
        <v>740</v>
      </c>
      <c r="B67" t="s">
        <v>668</v>
      </c>
      <c r="C67" s="2">
        <v>46154</v>
      </c>
      <c r="D67" t="s">
        <v>252</v>
      </c>
      <c r="E67">
        <v>683</v>
      </c>
      <c r="F67">
        <v>19</v>
      </c>
      <c r="G67" t="s">
        <v>647</v>
      </c>
    </row>
    <row r="68" spans="1:7" x14ac:dyDescent="0.3">
      <c r="A68" s="1" t="s">
        <v>741</v>
      </c>
      <c r="B68" t="s">
        <v>717</v>
      </c>
      <c r="C68" s="2">
        <v>46298</v>
      </c>
      <c r="D68" t="s">
        <v>278</v>
      </c>
      <c r="E68">
        <v>529</v>
      </c>
      <c r="F68">
        <v>57</v>
      </c>
      <c r="G68" t="s">
        <v>647</v>
      </c>
    </row>
    <row r="69" spans="1:7" x14ac:dyDescent="0.3">
      <c r="A69" s="1" t="s">
        <v>742</v>
      </c>
      <c r="B69" t="s">
        <v>703</v>
      </c>
      <c r="C69" s="2">
        <v>46354</v>
      </c>
      <c r="D69" t="s">
        <v>278</v>
      </c>
      <c r="E69">
        <v>683</v>
      </c>
      <c r="F69">
        <v>60</v>
      </c>
      <c r="G69" t="s">
        <v>647</v>
      </c>
    </row>
    <row r="70" spans="1:7" x14ac:dyDescent="0.3">
      <c r="A70" s="1" t="s">
        <v>743</v>
      </c>
      <c r="B70" t="s">
        <v>649</v>
      </c>
      <c r="C70" s="2">
        <v>46277</v>
      </c>
      <c r="D70" t="s">
        <v>257</v>
      </c>
      <c r="E70">
        <v>933</v>
      </c>
      <c r="F70">
        <v>10</v>
      </c>
      <c r="G70" t="s">
        <v>647</v>
      </c>
    </row>
    <row r="71" spans="1:7" x14ac:dyDescent="0.3">
      <c r="A71" s="1" t="s">
        <v>744</v>
      </c>
      <c r="B71" t="s">
        <v>668</v>
      </c>
      <c r="C71" s="2">
        <v>46227</v>
      </c>
      <c r="D71" t="s">
        <v>252</v>
      </c>
      <c r="E71">
        <v>672</v>
      </c>
      <c r="F71">
        <v>34</v>
      </c>
      <c r="G71" t="s">
        <v>647</v>
      </c>
    </row>
    <row r="72" spans="1:7" x14ac:dyDescent="0.3">
      <c r="A72" s="1" t="s">
        <v>745</v>
      </c>
      <c r="B72" t="s">
        <v>670</v>
      </c>
      <c r="C72" s="2">
        <v>46118</v>
      </c>
      <c r="D72" t="s">
        <v>655</v>
      </c>
      <c r="E72">
        <v>1054</v>
      </c>
      <c r="F72">
        <v>50</v>
      </c>
      <c r="G72" t="s">
        <v>647</v>
      </c>
    </row>
    <row r="73" spans="1:7" x14ac:dyDescent="0.3">
      <c r="A73" s="1" t="s">
        <v>746</v>
      </c>
      <c r="B73" t="s">
        <v>673</v>
      </c>
      <c r="C73" s="2">
        <v>46149</v>
      </c>
      <c r="D73" t="s">
        <v>257</v>
      </c>
      <c r="E73">
        <v>1106</v>
      </c>
      <c r="F73">
        <v>10</v>
      </c>
      <c r="G73" t="s">
        <v>647</v>
      </c>
    </row>
    <row r="74" spans="1:7" x14ac:dyDescent="0.3">
      <c r="A74" s="1" t="s">
        <v>747</v>
      </c>
      <c r="B74" t="s">
        <v>668</v>
      </c>
      <c r="C74" s="2">
        <v>46177</v>
      </c>
      <c r="D74" t="s">
        <v>252</v>
      </c>
      <c r="E74">
        <v>641</v>
      </c>
      <c r="F74">
        <v>52</v>
      </c>
      <c r="G74" t="s">
        <v>647</v>
      </c>
    </row>
    <row r="75" spans="1:7" x14ac:dyDescent="0.3">
      <c r="A75" s="1" t="s">
        <v>748</v>
      </c>
      <c r="B75" t="s">
        <v>703</v>
      </c>
      <c r="C75" s="2">
        <v>46305</v>
      </c>
      <c r="D75" t="s">
        <v>244</v>
      </c>
      <c r="E75">
        <v>285</v>
      </c>
      <c r="F75">
        <v>8</v>
      </c>
      <c r="G75" t="s">
        <v>647</v>
      </c>
    </row>
    <row r="76" spans="1:7" x14ac:dyDescent="0.3">
      <c r="A76" s="1" t="s">
        <v>749</v>
      </c>
      <c r="B76" t="s">
        <v>663</v>
      </c>
      <c r="C76" s="2">
        <v>46295</v>
      </c>
      <c r="D76" t="s">
        <v>257</v>
      </c>
      <c r="E76">
        <v>801</v>
      </c>
      <c r="F76">
        <v>15</v>
      </c>
      <c r="G76" t="s">
        <v>647</v>
      </c>
    </row>
    <row r="77" spans="1:7" x14ac:dyDescent="0.3">
      <c r="A77" s="1" t="s">
        <v>750</v>
      </c>
      <c r="B77" t="s">
        <v>657</v>
      </c>
      <c r="C77" s="2">
        <v>46087</v>
      </c>
      <c r="D77" t="s">
        <v>278</v>
      </c>
      <c r="E77">
        <v>1086</v>
      </c>
      <c r="F77">
        <v>54</v>
      </c>
      <c r="G77" t="s">
        <v>677</v>
      </c>
    </row>
    <row r="78" spans="1:7" x14ac:dyDescent="0.3">
      <c r="A78" s="1" t="s">
        <v>751</v>
      </c>
      <c r="B78" t="s">
        <v>670</v>
      </c>
      <c r="C78" s="2">
        <v>46190</v>
      </c>
      <c r="D78" t="s">
        <v>252</v>
      </c>
      <c r="E78">
        <v>780</v>
      </c>
      <c r="F78">
        <v>43</v>
      </c>
      <c r="G78" t="s">
        <v>647</v>
      </c>
    </row>
    <row r="79" spans="1:7" x14ac:dyDescent="0.3">
      <c r="A79" s="1" t="s">
        <v>752</v>
      </c>
      <c r="B79" t="s">
        <v>717</v>
      </c>
      <c r="C79" s="2">
        <v>46342</v>
      </c>
      <c r="D79" t="s">
        <v>278</v>
      </c>
      <c r="E79">
        <v>206</v>
      </c>
      <c r="F79">
        <v>47</v>
      </c>
      <c r="G79" t="s">
        <v>647</v>
      </c>
    </row>
    <row r="80" spans="1:7" x14ac:dyDescent="0.3">
      <c r="A80" s="1" t="s">
        <v>753</v>
      </c>
      <c r="B80" t="s">
        <v>646</v>
      </c>
      <c r="C80" s="2">
        <v>46279</v>
      </c>
      <c r="D80" t="s">
        <v>655</v>
      </c>
      <c r="E80">
        <v>1158</v>
      </c>
      <c r="F80">
        <v>32</v>
      </c>
      <c r="G80" t="s">
        <v>647</v>
      </c>
    </row>
    <row r="81" spans="1:7" x14ac:dyDescent="0.3">
      <c r="A81" s="1" t="s">
        <v>754</v>
      </c>
      <c r="B81" t="s">
        <v>697</v>
      </c>
      <c r="C81" s="2">
        <v>46227</v>
      </c>
      <c r="D81" t="s">
        <v>257</v>
      </c>
      <c r="E81">
        <v>944</v>
      </c>
      <c r="F81">
        <v>51</v>
      </c>
      <c r="G81" t="s">
        <v>647</v>
      </c>
    </row>
    <row r="82" spans="1:7" x14ac:dyDescent="0.3">
      <c r="A82" s="1" t="s">
        <v>755</v>
      </c>
      <c r="B82" t="s">
        <v>676</v>
      </c>
      <c r="C82" s="2">
        <v>46130</v>
      </c>
      <c r="D82" t="s">
        <v>278</v>
      </c>
      <c r="E82">
        <v>752</v>
      </c>
      <c r="F82">
        <v>50</v>
      </c>
      <c r="G82" t="s">
        <v>647</v>
      </c>
    </row>
    <row r="83" spans="1:7" x14ac:dyDescent="0.3">
      <c r="A83" s="1" t="s">
        <v>756</v>
      </c>
      <c r="B83" t="s">
        <v>697</v>
      </c>
      <c r="C83" s="2">
        <v>46341</v>
      </c>
      <c r="D83" t="s">
        <v>252</v>
      </c>
      <c r="E83">
        <v>669</v>
      </c>
      <c r="F83">
        <v>14</v>
      </c>
      <c r="G83" t="s">
        <v>647</v>
      </c>
    </row>
    <row r="84" spans="1:7" x14ac:dyDescent="0.3">
      <c r="A84" s="1" t="s">
        <v>757</v>
      </c>
      <c r="B84" t="s">
        <v>703</v>
      </c>
      <c r="C84" s="2">
        <v>46032</v>
      </c>
      <c r="D84" t="s">
        <v>257</v>
      </c>
      <c r="E84">
        <v>938</v>
      </c>
      <c r="F84">
        <v>14</v>
      </c>
      <c r="G84" t="s">
        <v>647</v>
      </c>
    </row>
    <row r="85" spans="1:7" x14ac:dyDescent="0.3">
      <c r="A85" s="1" t="s">
        <v>758</v>
      </c>
      <c r="B85" t="s">
        <v>646</v>
      </c>
      <c r="C85" s="2">
        <v>46206</v>
      </c>
      <c r="D85" t="s">
        <v>655</v>
      </c>
      <c r="E85">
        <v>894</v>
      </c>
      <c r="F85">
        <v>59</v>
      </c>
      <c r="G85" t="s">
        <v>647</v>
      </c>
    </row>
    <row r="86" spans="1:7" x14ac:dyDescent="0.3">
      <c r="A86" s="1" t="s">
        <v>759</v>
      </c>
      <c r="B86" t="s">
        <v>714</v>
      </c>
      <c r="C86" s="2">
        <v>46258</v>
      </c>
      <c r="D86" t="s">
        <v>252</v>
      </c>
      <c r="E86">
        <v>839</v>
      </c>
      <c r="F86">
        <v>55</v>
      </c>
      <c r="G86" t="s">
        <v>677</v>
      </c>
    </row>
    <row r="87" spans="1:7" x14ac:dyDescent="0.3">
      <c r="A87" s="1" t="s">
        <v>760</v>
      </c>
      <c r="B87" t="s">
        <v>703</v>
      </c>
      <c r="C87" s="2">
        <v>46147</v>
      </c>
      <c r="D87" t="s">
        <v>244</v>
      </c>
      <c r="E87">
        <v>486</v>
      </c>
      <c r="F87">
        <v>9</v>
      </c>
      <c r="G87" t="s">
        <v>647</v>
      </c>
    </row>
    <row r="88" spans="1:7" x14ac:dyDescent="0.3">
      <c r="A88" s="1" t="s">
        <v>761</v>
      </c>
      <c r="B88" t="s">
        <v>680</v>
      </c>
      <c r="C88" s="2">
        <v>46054</v>
      </c>
      <c r="D88" t="s">
        <v>257</v>
      </c>
      <c r="E88">
        <v>570</v>
      </c>
      <c r="F88">
        <v>46</v>
      </c>
      <c r="G88" t="s">
        <v>647</v>
      </c>
    </row>
    <row r="89" spans="1:7" x14ac:dyDescent="0.3">
      <c r="A89" s="1" t="s">
        <v>762</v>
      </c>
      <c r="B89" t="s">
        <v>659</v>
      </c>
      <c r="C89" s="2">
        <v>46241</v>
      </c>
      <c r="D89" t="s">
        <v>252</v>
      </c>
      <c r="E89">
        <v>284</v>
      </c>
      <c r="F89">
        <v>14</v>
      </c>
      <c r="G89" t="s">
        <v>647</v>
      </c>
    </row>
    <row r="90" spans="1:7" x14ac:dyDescent="0.3">
      <c r="A90" s="1" t="s">
        <v>763</v>
      </c>
      <c r="B90" t="s">
        <v>668</v>
      </c>
      <c r="C90" s="2">
        <v>46240</v>
      </c>
      <c r="D90" t="s">
        <v>257</v>
      </c>
      <c r="E90">
        <v>1171</v>
      </c>
      <c r="F90">
        <v>12</v>
      </c>
      <c r="G90" t="s">
        <v>647</v>
      </c>
    </row>
    <row r="91" spans="1:7" x14ac:dyDescent="0.3">
      <c r="A91" s="1" t="s">
        <v>764</v>
      </c>
      <c r="B91" t="s">
        <v>673</v>
      </c>
      <c r="C91" s="2">
        <v>46154</v>
      </c>
      <c r="D91" t="s">
        <v>252</v>
      </c>
      <c r="E91">
        <v>409</v>
      </c>
      <c r="F91">
        <v>53</v>
      </c>
      <c r="G91" t="s">
        <v>677</v>
      </c>
    </row>
    <row r="92" spans="1:7" x14ac:dyDescent="0.3">
      <c r="A92" s="1" t="s">
        <v>765</v>
      </c>
      <c r="B92" t="s">
        <v>680</v>
      </c>
      <c r="C92" s="2">
        <v>46360</v>
      </c>
      <c r="D92" t="s">
        <v>257</v>
      </c>
      <c r="E92">
        <v>425</v>
      </c>
      <c r="F92">
        <v>41</v>
      </c>
      <c r="G92" t="s">
        <v>647</v>
      </c>
    </row>
    <row r="93" spans="1:7" x14ac:dyDescent="0.3">
      <c r="A93" s="1" t="s">
        <v>766</v>
      </c>
      <c r="B93" t="s">
        <v>653</v>
      </c>
      <c r="C93" s="2">
        <v>46113</v>
      </c>
      <c r="D93" t="s">
        <v>278</v>
      </c>
      <c r="E93">
        <v>373</v>
      </c>
      <c r="F93">
        <v>47</v>
      </c>
      <c r="G93" t="s">
        <v>647</v>
      </c>
    </row>
    <row r="94" spans="1:7" x14ac:dyDescent="0.3">
      <c r="A94" s="1" t="s">
        <v>767</v>
      </c>
      <c r="B94" t="s">
        <v>682</v>
      </c>
      <c r="C94" s="2">
        <v>46266</v>
      </c>
      <c r="D94" t="s">
        <v>252</v>
      </c>
      <c r="E94">
        <v>865</v>
      </c>
      <c r="F94">
        <v>52</v>
      </c>
      <c r="G94" t="s">
        <v>647</v>
      </c>
    </row>
    <row r="95" spans="1:7" x14ac:dyDescent="0.3">
      <c r="A95" s="1" t="s">
        <v>768</v>
      </c>
      <c r="B95" t="s">
        <v>714</v>
      </c>
      <c r="C95" s="2">
        <v>46287</v>
      </c>
      <c r="D95" t="s">
        <v>244</v>
      </c>
      <c r="E95">
        <v>849</v>
      </c>
      <c r="F95">
        <v>45</v>
      </c>
      <c r="G95" t="s">
        <v>677</v>
      </c>
    </row>
    <row r="96" spans="1:7" x14ac:dyDescent="0.3">
      <c r="A96" s="1" t="s">
        <v>769</v>
      </c>
      <c r="B96" t="s">
        <v>649</v>
      </c>
      <c r="C96" s="2">
        <v>46189</v>
      </c>
      <c r="D96" t="s">
        <v>655</v>
      </c>
      <c r="E96">
        <v>1187</v>
      </c>
      <c r="F96">
        <v>37</v>
      </c>
      <c r="G96" t="s">
        <v>647</v>
      </c>
    </row>
    <row r="97" spans="1:7" x14ac:dyDescent="0.3">
      <c r="A97" s="1" t="s">
        <v>770</v>
      </c>
      <c r="B97" t="s">
        <v>712</v>
      </c>
      <c r="C97" s="2">
        <v>46048</v>
      </c>
      <c r="D97" t="s">
        <v>278</v>
      </c>
      <c r="E97">
        <v>841</v>
      </c>
      <c r="F97">
        <v>23</v>
      </c>
      <c r="G97" t="s">
        <v>647</v>
      </c>
    </row>
    <row r="98" spans="1:7" x14ac:dyDescent="0.3">
      <c r="A98" s="1" t="s">
        <v>771</v>
      </c>
      <c r="B98" t="s">
        <v>714</v>
      </c>
      <c r="C98" s="2">
        <v>46347</v>
      </c>
      <c r="D98" t="s">
        <v>244</v>
      </c>
      <c r="E98">
        <v>890</v>
      </c>
      <c r="F98">
        <v>43</v>
      </c>
      <c r="G98" t="s">
        <v>677</v>
      </c>
    </row>
    <row r="99" spans="1:7" x14ac:dyDescent="0.3">
      <c r="A99" s="1" t="s">
        <v>772</v>
      </c>
      <c r="B99" t="s">
        <v>773</v>
      </c>
      <c r="C99" s="2">
        <v>46353</v>
      </c>
      <c r="D99" t="s">
        <v>257</v>
      </c>
      <c r="E99">
        <v>639</v>
      </c>
      <c r="F99">
        <v>31</v>
      </c>
      <c r="G99" t="s">
        <v>647</v>
      </c>
    </row>
    <row r="100" spans="1:7" x14ac:dyDescent="0.3">
      <c r="A100" s="1" t="s">
        <v>774</v>
      </c>
      <c r="B100" t="s">
        <v>649</v>
      </c>
      <c r="C100" s="2">
        <v>46331</v>
      </c>
      <c r="D100" t="s">
        <v>655</v>
      </c>
      <c r="E100">
        <v>737</v>
      </c>
      <c r="F100">
        <v>45</v>
      </c>
      <c r="G100" t="s">
        <v>647</v>
      </c>
    </row>
    <row r="101" spans="1:7" x14ac:dyDescent="0.3">
      <c r="A101" s="1" t="s">
        <v>775</v>
      </c>
      <c r="B101" t="s">
        <v>689</v>
      </c>
      <c r="C101" s="2">
        <v>46177</v>
      </c>
      <c r="D101" t="s">
        <v>244</v>
      </c>
      <c r="E101">
        <v>822</v>
      </c>
      <c r="F101">
        <v>41</v>
      </c>
      <c r="G101" t="s">
        <v>677</v>
      </c>
    </row>
    <row r="102" spans="1:7" x14ac:dyDescent="0.3">
      <c r="A102" s="1" t="s">
        <v>776</v>
      </c>
      <c r="B102" t="s">
        <v>666</v>
      </c>
      <c r="C102" s="2">
        <v>46373</v>
      </c>
      <c r="D102" t="s">
        <v>655</v>
      </c>
      <c r="E102">
        <v>593</v>
      </c>
      <c r="F102">
        <v>54</v>
      </c>
      <c r="G102" t="s">
        <v>647</v>
      </c>
    </row>
    <row r="103" spans="1:7" x14ac:dyDescent="0.3">
      <c r="A103" s="1" t="s">
        <v>777</v>
      </c>
      <c r="B103" t="s">
        <v>705</v>
      </c>
      <c r="C103" s="2">
        <v>46027</v>
      </c>
      <c r="D103" t="s">
        <v>655</v>
      </c>
      <c r="E103">
        <v>311</v>
      </c>
      <c r="F103">
        <v>18</v>
      </c>
      <c r="G103" t="s">
        <v>647</v>
      </c>
    </row>
    <row r="104" spans="1:7" x14ac:dyDescent="0.3">
      <c r="A104" s="1" t="s">
        <v>778</v>
      </c>
      <c r="B104" t="s">
        <v>651</v>
      </c>
      <c r="C104" s="2">
        <v>46234</v>
      </c>
      <c r="D104" t="s">
        <v>244</v>
      </c>
      <c r="E104">
        <v>761</v>
      </c>
      <c r="F104">
        <v>10</v>
      </c>
      <c r="G104" t="s">
        <v>647</v>
      </c>
    </row>
    <row r="105" spans="1:7" x14ac:dyDescent="0.3">
      <c r="A105" s="1" t="s">
        <v>779</v>
      </c>
      <c r="B105" t="s">
        <v>649</v>
      </c>
      <c r="C105" s="2">
        <v>46227</v>
      </c>
      <c r="D105" t="s">
        <v>278</v>
      </c>
      <c r="E105">
        <v>332</v>
      </c>
      <c r="F105">
        <v>25</v>
      </c>
      <c r="G105" t="s">
        <v>677</v>
      </c>
    </row>
    <row r="106" spans="1:7" x14ac:dyDescent="0.3">
      <c r="A106" s="1" t="s">
        <v>780</v>
      </c>
      <c r="B106" t="s">
        <v>668</v>
      </c>
      <c r="C106" s="2">
        <v>46327</v>
      </c>
      <c r="D106" t="s">
        <v>244</v>
      </c>
      <c r="E106">
        <v>959</v>
      </c>
      <c r="F106">
        <v>5</v>
      </c>
      <c r="G106" t="s">
        <v>677</v>
      </c>
    </row>
    <row r="107" spans="1:7" x14ac:dyDescent="0.3">
      <c r="A107" s="1" t="s">
        <v>781</v>
      </c>
      <c r="B107" t="s">
        <v>663</v>
      </c>
      <c r="C107" s="2">
        <v>46329</v>
      </c>
      <c r="D107" t="s">
        <v>278</v>
      </c>
      <c r="E107">
        <v>678</v>
      </c>
      <c r="F107">
        <v>28</v>
      </c>
      <c r="G107" t="s">
        <v>677</v>
      </c>
    </row>
    <row r="108" spans="1:7" x14ac:dyDescent="0.3">
      <c r="A108" s="1" t="s">
        <v>782</v>
      </c>
      <c r="B108" t="s">
        <v>673</v>
      </c>
      <c r="C108" s="2">
        <v>46319</v>
      </c>
      <c r="D108" t="s">
        <v>257</v>
      </c>
      <c r="E108">
        <v>705</v>
      </c>
      <c r="F108">
        <v>24</v>
      </c>
      <c r="G108" t="s">
        <v>647</v>
      </c>
    </row>
    <row r="109" spans="1:7" x14ac:dyDescent="0.3">
      <c r="A109" s="1" t="s">
        <v>783</v>
      </c>
      <c r="B109" t="s">
        <v>661</v>
      </c>
      <c r="C109" s="2">
        <v>46340</v>
      </c>
      <c r="D109" t="s">
        <v>278</v>
      </c>
      <c r="E109">
        <v>1083</v>
      </c>
      <c r="F109">
        <v>48</v>
      </c>
      <c r="G109" t="s">
        <v>647</v>
      </c>
    </row>
    <row r="110" spans="1:7" x14ac:dyDescent="0.3">
      <c r="A110" s="1" t="s">
        <v>784</v>
      </c>
      <c r="B110" t="s">
        <v>676</v>
      </c>
      <c r="C110" s="2">
        <v>46299</v>
      </c>
      <c r="D110" t="s">
        <v>257</v>
      </c>
      <c r="E110">
        <v>1113</v>
      </c>
      <c r="F110">
        <v>8</v>
      </c>
      <c r="G110" t="s">
        <v>647</v>
      </c>
    </row>
    <row r="111" spans="1:7" x14ac:dyDescent="0.3">
      <c r="A111" s="1" t="s">
        <v>785</v>
      </c>
      <c r="B111" t="s">
        <v>786</v>
      </c>
      <c r="C111" s="2">
        <v>46280</v>
      </c>
      <c r="D111" t="s">
        <v>655</v>
      </c>
      <c r="E111">
        <v>382</v>
      </c>
      <c r="F111">
        <v>38</v>
      </c>
      <c r="G111" t="s">
        <v>647</v>
      </c>
    </row>
    <row r="112" spans="1:7" x14ac:dyDescent="0.3">
      <c r="A112" s="1" t="s">
        <v>787</v>
      </c>
      <c r="B112" t="s">
        <v>705</v>
      </c>
      <c r="C112" s="2">
        <v>46116</v>
      </c>
      <c r="D112" t="s">
        <v>655</v>
      </c>
      <c r="E112">
        <v>1087</v>
      </c>
      <c r="F112">
        <v>8</v>
      </c>
      <c r="G112" t="s">
        <v>647</v>
      </c>
    </row>
    <row r="113" spans="1:7" x14ac:dyDescent="0.3">
      <c r="A113" s="1" t="s">
        <v>788</v>
      </c>
      <c r="B113" t="s">
        <v>786</v>
      </c>
      <c r="C113" s="2">
        <v>46247</v>
      </c>
      <c r="D113" t="s">
        <v>655</v>
      </c>
      <c r="E113">
        <v>786</v>
      </c>
      <c r="F113">
        <v>30</v>
      </c>
      <c r="G113" t="s">
        <v>647</v>
      </c>
    </row>
    <row r="114" spans="1:7" x14ac:dyDescent="0.3">
      <c r="A114" s="1" t="s">
        <v>789</v>
      </c>
      <c r="B114" t="s">
        <v>680</v>
      </c>
      <c r="C114" s="2">
        <v>46373</v>
      </c>
      <c r="D114" t="s">
        <v>244</v>
      </c>
      <c r="E114">
        <v>1004</v>
      </c>
      <c r="F114">
        <v>25</v>
      </c>
      <c r="G114" t="s">
        <v>647</v>
      </c>
    </row>
    <row r="115" spans="1:7" x14ac:dyDescent="0.3">
      <c r="A115" s="1" t="s">
        <v>790</v>
      </c>
      <c r="B115" t="s">
        <v>712</v>
      </c>
      <c r="C115" s="2">
        <v>46303</v>
      </c>
      <c r="D115" t="s">
        <v>655</v>
      </c>
      <c r="E115">
        <v>373</v>
      </c>
      <c r="F115">
        <v>31</v>
      </c>
      <c r="G115" t="s">
        <v>647</v>
      </c>
    </row>
    <row r="116" spans="1:7" x14ac:dyDescent="0.3">
      <c r="A116" s="1" t="s">
        <v>791</v>
      </c>
      <c r="B116" t="s">
        <v>682</v>
      </c>
      <c r="C116" s="2">
        <v>46032</v>
      </c>
      <c r="D116" t="s">
        <v>278</v>
      </c>
      <c r="E116">
        <v>901</v>
      </c>
      <c r="F116">
        <v>33</v>
      </c>
      <c r="G116" t="s">
        <v>647</v>
      </c>
    </row>
    <row r="117" spans="1:7" x14ac:dyDescent="0.3">
      <c r="A117" s="1" t="s">
        <v>792</v>
      </c>
      <c r="B117" t="s">
        <v>653</v>
      </c>
      <c r="C117" s="2">
        <v>46048</v>
      </c>
      <c r="D117" t="s">
        <v>244</v>
      </c>
      <c r="E117">
        <v>988</v>
      </c>
      <c r="F117">
        <v>33</v>
      </c>
      <c r="G117" t="s">
        <v>647</v>
      </c>
    </row>
    <row r="118" spans="1:7" x14ac:dyDescent="0.3">
      <c r="A118" s="1" t="s">
        <v>793</v>
      </c>
      <c r="B118" t="s">
        <v>676</v>
      </c>
      <c r="C118" s="2">
        <v>46301</v>
      </c>
      <c r="D118" t="s">
        <v>244</v>
      </c>
      <c r="E118">
        <v>993</v>
      </c>
      <c r="F118">
        <v>33</v>
      </c>
      <c r="G118" t="s">
        <v>647</v>
      </c>
    </row>
    <row r="119" spans="1:7" x14ac:dyDescent="0.3">
      <c r="A119" s="1" t="s">
        <v>794</v>
      </c>
      <c r="B119" t="s">
        <v>646</v>
      </c>
      <c r="C119" s="2">
        <v>46113</v>
      </c>
      <c r="D119" t="s">
        <v>257</v>
      </c>
      <c r="E119">
        <v>1068</v>
      </c>
      <c r="F119">
        <v>31</v>
      </c>
      <c r="G119" t="s">
        <v>647</v>
      </c>
    </row>
    <row r="120" spans="1:7" x14ac:dyDescent="0.3">
      <c r="A120" s="1" t="s">
        <v>795</v>
      </c>
      <c r="B120" t="s">
        <v>689</v>
      </c>
      <c r="C120" s="2">
        <v>46372</v>
      </c>
      <c r="D120" t="s">
        <v>252</v>
      </c>
      <c r="E120">
        <v>459</v>
      </c>
      <c r="F120">
        <v>26</v>
      </c>
      <c r="G120" t="s">
        <v>647</v>
      </c>
    </row>
    <row r="121" spans="1:7" x14ac:dyDescent="0.3">
      <c r="A121" s="1" t="s">
        <v>796</v>
      </c>
      <c r="B121" t="s">
        <v>676</v>
      </c>
      <c r="C121" s="2">
        <v>46054</v>
      </c>
      <c r="D121" t="s">
        <v>655</v>
      </c>
      <c r="E121">
        <v>265</v>
      </c>
      <c r="F121">
        <v>17</v>
      </c>
      <c r="G121" t="s">
        <v>677</v>
      </c>
    </row>
    <row r="122" spans="1:7" x14ac:dyDescent="0.3">
      <c r="A122" s="1" t="s">
        <v>797</v>
      </c>
      <c r="B122" t="s">
        <v>673</v>
      </c>
      <c r="C122" s="2">
        <v>46153</v>
      </c>
      <c r="D122" t="s">
        <v>278</v>
      </c>
      <c r="E122">
        <v>542</v>
      </c>
      <c r="F122">
        <v>12</v>
      </c>
      <c r="G122" t="s">
        <v>647</v>
      </c>
    </row>
    <row r="123" spans="1:7" x14ac:dyDescent="0.3">
      <c r="A123" s="1" t="s">
        <v>798</v>
      </c>
      <c r="B123" t="s">
        <v>661</v>
      </c>
      <c r="C123" s="2">
        <v>46139</v>
      </c>
      <c r="D123" t="s">
        <v>257</v>
      </c>
      <c r="E123">
        <v>848</v>
      </c>
      <c r="F123">
        <v>54</v>
      </c>
      <c r="G123" t="s">
        <v>647</v>
      </c>
    </row>
    <row r="124" spans="1:7" x14ac:dyDescent="0.3">
      <c r="A124" s="1" t="s">
        <v>799</v>
      </c>
      <c r="B124" t="s">
        <v>717</v>
      </c>
      <c r="C124" s="2">
        <v>46187</v>
      </c>
      <c r="D124" t="s">
        <v>278</v>
      </c>
      <c r="E124">
        <v>947</v>
      </c>
      <c r="F124">
        <v>51</v>
      </c>
      <c r="G124" t="s">
        <v>677</v>
      </c>
    </row>
    <row r="125" spans="1:7" x14ac:dyDescent="0.3">
      <c r="A125" s="1" t="s">
        <v>800</v>
      </c>
      <c r="B125" t="s">
        <v>712</v>
      </c>
      <c r="C125" s="2">
        <v>46195</v>
      </c>
      <c r="D125" t="s">
        <v>252</v>
      </c>
      <c r="E125">
        <v>700</v>
      </c>
      <c r="F125">
        <v>5</v>
      </c>
      <c r="G125" t="s">
        <v>647</v>
      </c>
    </row>
    <row r="126" spans="1:7" x14ac:dyDescent="0.3">
      <c r="A126" s="1" t="s">
        <v>801</v>
      </c>
      <c r="B126" t="s">
        <v>705</v>
      </c>
      <c r="C126" s="2">
        <v>46161</v>
      </c>
      <c r="D126" t="s">
        <v>257</v>
      </c>
      <c r="E126">
        <v>1023</v>
      </c>
      <c r="F126">
        <v>37</v>
      </c>
      <c r="G126" t="s">
        <v>647</v>
      </c>
    </row>
    <row r="127" spans="1:7" x14ac:dyDescent="0.3">
      <c r="A127" s="1" t="s">
        <v>802</v>
      </c>
      <c r="B127" t="s">
        <v>717</v>
      </c>
      <c r="C127" s="2">
        <v>46139</v>
      </c>
      <c r="D127" t="s">
        <v>278</v>
      </c>
      <c r="E127">
        <v>1141</v>
      </c>
      <c r="F127">
        <v>56</v>
      </c>
      <c r="G127" t="s">
        <v>647</v>
      </c>
    </row>
    <row r="128" spans="1:7" x14ac:dyDescent="0.3">
      <c r="A128" s="1" t="s">
        <v>803</v>
      </c>
      <c r="B128" t="s">
        <v>649</v>
      </c>
      <c r="C128" s="2">
        <v>46066</v>
      </c>
      <c r="D128" t="s">
        <v>278</v>
      </c>
      <c r="E128">
        <v>283</v>
      </c>
      <c r="F128">
        <v>35</v>
      </c>
      <c r="G128" t="s">
        <v>677</v>
      </c>
    </row>
    <row r="129" spans="1:7" x14ac:dyDescent="0.3">
      <c r="A129" s="1" t="s">
        <v>804</v>
      </c>
      <c r="B129" t="s">
        <v>666</v>
      </c>
      <c r="C129" s="2">
        <v>46127</v>
      </c>
      <c r="D129" t="s">
        <v>252</v>
      </c>
      <c r="E129">
        <v>435</v>
      </c>
      <c r="F129">
        <v>54</v>
      </c>
      <c r="G129" t="s">
        <v>647</v>
      </c>
    </row>
    <row r="130" spans="1:7" x14ac:dyDescent="0.3">
      <c r="A130" s="1" t="s">
        <v>805</v>
      </c>
      <c r="B130" t="s">
        <v>710</v>
      </c>
      <c r="C130" s="2">
        <v>46138</v>
      </c>
      <c r="D130" t="s">
        <v>244</v>
      </c>
      <c r="E130">
        <v>761</v>
      </c>
      <c r="F130">
        <v>6</v>
      </c>
      <c r="G130" t="s">
        <v>647</v>
      </c>
    </row>
    <row r="131" spans="1:7" x14ac:dyDescent="0.3">
      <c r="A131" s="1" t="s">
        <v>806</v>
      </c>
      <c r="B131" t="s">
        <v>686</v>
      </c>
      <c r="C131" s="2">
        <v>46297</v>
      </c>
      <c r="D131" t="s">
        <v>278</v>
      </c>
      <c r="E131">
        <v>1061</v>
      </c>
      <c r="F131">
        <v>41</v>
      </c>
      <c r="G131" t="s">
        <v>647</v>
      </c>
    </row>
    <row r="132" spans="1:7" x14ac:dyDescent="0.3">
      <c r="A132" s="1" t="s">
        <v>807</v>
      </c>
      <c r="B132" t="s">
        <v>808</v>
      </c>
      <c r="C132" s="2">
        <v>46039</v>
      </c>
      <c r="D132" t="s">
        <v>252</v>
      </c>
      <c r="E132">
        <v>836</v>
      </c>
      <c r="F132">
        <v>33</v>
      </c>
      <c r="G132" t="s">
        <v>647</v>
      </c>
    </row>
    <row r="133" spans="1:7" x14ac:dyDescent="0.3">
      <c r="A133" s="1" t="s">
        <v>809</v>
      </c>
      <c r="B133" t="s">
        <v>729</v>
      </c>
      <c r="C133" s="2">
        <v>46237</v>
      </c>
      <c r="D133" t="s">
        <v>655</v>
      </c>
      <c r="E133">
        <v>898</v>
      </c>
      <c r="F133">
        <v>25</v>
      </c>
      <c r="G133" t="s">
        <v>647</v>
      </c>
    </row>
    <row r="134" spans="1:7" x14ac:dyDescent="0.3">
      <c r="A134" s="1" t="s">
        <v>810</v>
      </c>
      <c r="B134" t="s">
        <v>680</v>
      </c>
      <c r="C134" s="2">
        <v>46298</v>
      </c>
      <c r="D134" t="s">
        <v>252</v>
      </c>
      <c r="E134">
        <v>587</v>
      </c>
      <c r="F134">
        <v>59</v>
      </c>
      <c r="G134" t="s">
        <v>647</v>
      </c>
    </row>
    <row r="135" spans="1:7" x14ac:dyDescent="0.3">
      <c r="A135" s="1" t="s">
        <v>811</v>
      </c>
      <c r="B135" t="s">
        <v>651</v>
      </c>
      <c r="C135" s="2">
        <v>46034</v>
      </c>
      <c r="D135" t="s">
        <v>278</v>
      </c>
      <c r="E135">
        <v>1155</v>
      </c>
      <c r="F135">
        <v>30</v>
      </c>
      <c r="G135" t="s">
        <v>647</v>
      </c>
    </row>
    <row r="136" spans="1:7" x14ac:dyDescent="0.3">
      <c r="A136" s="1" t="s">
        <v>812</v>
      </c>
      <c r="B136" t="s">
        <v>705</v>
      </c>
      <c r="C136" s="2">
        <v>46178</v>
      </c>
      <c r="D136" t="s">
        <v>655</v>
      </c>
      <c r="E136">
        <v>649</v>
      </c>
      <c r="F136">
        <v>50</v>
      </c>
      <c r="G136" t="s">
        <v>647</v>
      </c>
    </row>
    <row r="137" spans="1:7" x14ac:dyDescent="0.3">
      <c r="A137" s="1" t="s">
        <v>813</v>
      </c>
      <c r="B137" t="s">
        <v>682</v>
      </c>
      <c r="C137" s="2">
        <v>46079</v>
      </c>
      <c r="D137" t="s">
        <v>244</v>
      </c>
      <c r="E137">
        <v>1185</v>
      </c>
      <c r="F137">
        <v>46</v>
      </c>
      <c r="G137" t="s">
        <v>647</v>
      </c>
    </row>
    <row r="138" spans="1:7" x14ac:dyDescent="0.3">
      <c r="A138" s="1" t="s">
        <v>814</v>
      </c>
      <c r="B138" t="s">
        <v>686</v>
      </c>
      <c r="C138" s="2">
        <v>46212</v>
      </c>
      <c r="D138" t="s">
        <v>655</v>
      </c>
      <c r="E138">
        <v>532</v>
      </c>
      <c r="F138">
        <v>15</v>
      </c>
      <c r="G138" t="s">
        <v>647</v>
      </c>
    </row>
    <row r="139" spans="1:7" x14ac:dyDescent="0.3">
      <c r="A139" s="1" t="s">
        <v>815</v>
      </c>
      <c r="B139" t="s">
        <v>661</v>
      </c>
      <c r="C139" s="2">
        <v>46128</v>
      </c>
      <c r="D139" t="s">
        <v>278</v>
      </c>
      <c r="E139">
        <v>655</v>
      </c>
      <c r="F139">
        <v>9</v>
      </c>
      <c r="G139" t="s">
        <v>647</v>
      </c>
    </row>
    <row r="140" spans="1:7" x14ac:dyDescent="0.3">
      <c r="A140" s="1" t="s">
        <v>816</v>
      </c>
      <c r="B140" t="s">
        <v>666</v>
      </c>
      <c r="C140" s="2">
        <v>46186</v>
      </c>
      <c r="D140" t="s">
        <v>244</v>
      </c>
      <c r="E140">
        <v>585</v>
      </c>
      <c r="F140">
        <v>10</v>
      </c>
      <c r="G140" t="s">
        <v>647</v>
      </c>
    </row>
    <row r="141" spans="1:7" x14ac:dyDescent="0.3">
      <c r="A141" s="1" t="s">
        <v>817</v>
      </c>
      <c r="B141" t="s">
        <v>705</v>
      </c>
      <c r="C141" s="2">
        <v>46060</v>
      </c>
      <c r="D141" t="s">
        <v>655</v>
      </c>
      <c r="E141">
        <v>567</v>
      </c>
      <c r="F141">
        <v>22</v>
      </c>
      <c r="G141" t="s">
        <v>647</v>
      </c>
    </row>
    <row r="142" spans="1:7" x14ac:dyDescent="0.3">
      <c r="A142" s="1" t="s">
        <v>818</v>
      </c>
      <c r="B142" t="s">
        <v>676</v>
      </c>
      <c r="C142" s="2">
        <v>46257</v>
      </c>
      <c r="D142" t="s">
        <v>257</v>
      </c>
      <c r="E142">
        <v>1059</v>
      </c>
      <c r="F142">
        <v>51</v>
      </c>
      <c r="G142" t="s">
        <v>647</v>
      </c>
    </row>
    <row r="143" spans="1:7" x14ac:dyDescent="0.3">
      <c r="A143" s="1" t="s">
        <v>819</v>
      </c>
      <c r="B143" t="s">
        <v>786</v>
      </c>
      <c r="C143" s="2">
        <v>46349</v>
      </c>
      <c r="D143" t="s">
        <v>655</v>
      </c>
      <c r="E143">
        <v>200</v>
      </c>
      <c r="F143">
        <v>15</v>
      </c>
      <c r="G143" t="s">
        <v>647</v>
      </c>
    </row>
    <row r="144" spans="1:7" x14ac:dyDescent="0.3">
      <c r="A144" s="1" t="s">
        <v>820</v>
      </c>
      <c r="B144" t="s">
        <v>729</v>
      </c>
      <c r="C144" s="2">
        <v>46177</v>
      </c>
      <c r="D144" t="s">
        <v>252</v>
      </c>
      <c r="E144">
        <v>607</v>
      </c>
      <c r="F144">
        <v>29</v>
      </c>
      <c r="G144" t="s">
        <v>677</v>
      </c>
    </row>
    <row r="145" spans="1:7" x14ac:dyDescent="0.3">
      <c r="A145" s="1" t="s">
        <v>821</v>
      </c>
      <c r="B145" t="s">
        <v>649</v>
      </c>
      <c r="C145" s="2">
        <v>46346</v>
      </c>
      <c r="D145" t="s">
        <v>244</v>
      </c>
      <c r="E145">
        <v>1013</v>
      </c>
      <c r="F145">
        <v>6</v>
      </c>
      <c r="G145" t="s">
        <v>677</v>
      </c>
    </row>
    <row r="146" spans="1:7" x14ac:dyDescent="0.3">
      <c r="A146" s="1" t="s">
        <v>822</v>
      </c>
      <c r="B146" t="s">
        <v>663</v>
      </c>
      <c r="C146" s="2">
        <v>46267</v>
      </c>
      <c r="D146" t="s">
        <v>655</v>
      </c>
      <c r="E146">
        <v>1065</v>
      </c>
      <c r="F146">
        <v>51</v>
      </c>
      <c r="G146" t="s">
        <v>647</v>
      </c>
    </row>
    <row r="147" spans="1:7" x14ac:dyDescent="0.3">
      <c r="A147" s="1" t="s">
        <v>823</v>
      </c>
      <c r="B147" t="s">
        <v>697</v>
      </c>
      <c r="C147" s="2">
        <v>46363</v>
      </c>
      <c r="D147" t="s">
        <v>655</v>
      </c>
      <c r="E147">
        <v>571</v>
      </c>
      <c r="F147">
        <v>58</v>
      </c>
      <c r="G147" t="s">
        <v>647</v>
      </c>
    </row>
    <row r="148" spans="1:7" x14ac:dyDescent="0.3">
      <c r="A148" s="1" t="s">
        <v>824</v>
      </c>
      <c r="B148" t="s">
        <v>712</v>
      </c>
      <c r="C148" s="2">
        <v>46259</v>
      </c>
      <c r="D148" t="s">
        <v>278</v>
      </c>
      <c r="E148">
        <v>333</v>
      </c>
      <c r="F148">
        <v>54</v>
      </c>
      <c r="G148" t="s">
        <v>647</v>
      </c>
    </row>
    <row r="149" spans="1:7" x14ac:dyDescent="0.3">
      <c r="A149" s="1" t="s">
        <v>825</v>
      </c>
      <c r="B149" t="s">
        <v>808</v>
      </c>
      <c r="C149" s="2">
        <v>46370</v>
      </c>
      <c r="D149" t="s">
        <v>278</v>
      </c>
      <c r="E149">
        <v>710</v>
      </c>
      <c r="F149">
        <v>11</v>
      </c>
      <c r="G149" t="s">
        <v>647</v>
      </c>
    </row>
    <row r="150" spans="1:7" x14ac:dyDescent="0.3">
      <c r="A150" s="1" t="s">
        <v>826</v>
      </c>
      <c r="B150" t="s">
        <v>673</v>
      </c>
      <c r="C150" s="2">
        <v>46034</v>
      </c>
      <c r="D150" t="s">
        <v>244</v>
      </c>
      <c r="E150">
        <v>780</v>
      </c>
      <c r="F150">
        <v>57</v>
      </c>
      <c r="G150" t="s">
        <v>647</v>
      </c>
    </row>
    <row r="151" spans="1:7" x14ac:dyDescent="0.3">
      <c r="A151" s="1" t="s">
        <v>827</v>
      </c>
      <c r="B151" t="s">
        <v>663</v>
      </c>
      <c r="C151" s="2">
        <v>46049</v>
      </c>
      <c r="D151" t="s">
        <v>244</v>
      </c>
      <c r="E151">
        <v>888</v>
      </c>
      <c r="F151">
        <v>6</v>
      </c>
      <c r="G151" t="s">
        <v>647</v>
      </c>
    </row>
    <row r="152" spans="1:7" x14ac:dyDescent="0.3">
      <c r="A152" s="1" t="s">
        <v>828</v>
      </c>
      <c r="B152" t="s">
        <v>680</v>
      </c>
      <c r="C152" s="2">
        <v>46324</v>
      </c>
      <c r="D152" t="s">
        <v>257</v>
      </c>
      <c r="E152">
        <v>1009</v>
      </c>
      <c r="F152">
        <v>42</v>
      </c>
      <c r="G152" t="s">
        <v>647</v>
      </c>
    </row>
    <row r="153" spans="1:7" x14ac:dyDescent="0.3">
      <c r="A153" s="1" t="s">
        <v>829</v>
      </c>
      <c r="B153" t="s">
        <v>670</v>
      </c>
      <c r="C153" s="2">
        <v>46364</v>
      </c>
      <c r="D153" t="s">
        <v>252</v>
      </c>
      <c r="E153">
        <v>653</v>
      </c>
      <c r="F153">
        <v>29</v>
      </c>
      <c r="G153" t="s">
        <v>677</v>
      </c>
    </row>
    <row r="154" spans="1:7" x14ac:dyDescent="0.3">
      <c r="A154" s="1" t="s">
        <v>830</v>
      </c>
      <c r="B154" t="s">
        <v>661</v>
      </c>
      <c r="C154" s="2">
        <v>46311</v>
      </c>
      <c r="D154" t="s">
        <v>278</v>
      </c>
      <c r="E154">
        <v>304</v>
      </c>
      <c r="F154">
        <v>52</v>
      </c>
      <c r="G154" t="s">
        <v>677</v>
      </c>
    </row>
    <row r="155" spans="1:7" x14ac:dyDescent="0.3">
      <c r="A155" s="1" t="s">
        <v>831</v>
      </c>
      <c r="B155" t="s">
        <v>680</v>
      </c>
      <c r="C155" s="2">
        <v>46142</v>
      </c>
      <c r="D155" t="s">
        <v>655</v>
      </c>
      <c r="E155">
        <v>1074</v>
      </c>
      <c r="F155">
        <v>56</v>
      </c>
      <c r="G155" t="s">
        <v>647</v>
      </c>
    </row>
    <row r="156" spans="1:7" x14ac:dyDescent="0.3">
      <c r="A156" s="1" t="s">
        <v>832</v>
      </c>
      <c r="B156" t="s">
        <v>680</v>
      </c>
      <c r="C156" s="2">
        <v>46372</v>
      </c>
      <c r="D156" t="s">
        <v>278</v>
      </c>
      <c r="E156">
        <v>964</v>
      </c>
      <c r="F156">
        <v>28</v>
      </c>
      <c r="G156" t="s">
        <v>647</v>
      </c>
    </row>
    <row r="157" spans="1:7" x14ac:dyDescent="0.3">
      <c r="A157" s="1" t="s">
        <v>833</v>
      </c>
      <c r="B157" t="s">
        <v>712</v>
      </c>
      <c r="C157" s="2">
        <v>46174</v>
      </c>
      <c r="D157" t="s">
        <v>252</v>
      </c>
      <c r="E157">
        <v>611</v>
      </c>
      <c r="F157">
        <v>58</v>
      </c>
      <c r="G157" t="s">
        <v>647</v>
      </c>
    </row>
    <row r="158" spans="1:7" x14ac:dyDescent="0.3">
      <c r="A158" s="1" t="s">
        <v>834</v>
      </c>
      <c r="B158" t="s">
        <v>659</v>
      </c>
      <c r="C158" s="2">
        <v>46297</v>
      </c>
      <c r="D158" t="s">
        <v>257</v>
      </c>
      <c r="E158">
        <v>322</v>
      </c>
      <c r="F158">
        <v>20</v>
      </c>
      <c r="G158" t="s">
        <v>647</v>
      </c>
    </row>
    <row r="159" spans="1:7" x14ac:dyDescent="0.3">
      <c r="A159" s="1" t="s">
        <v>835</v>
      </c>
      <c r="B159" t="s">
        <v>773</v>
      </c>
      <c r="C159" s="2">
        <v>46320</v>
      </c>
      <c r="D159" t="s">
        <v>244</v>
      </c>
      <c r="E159">
        <v>631</v>
      </c>
      <c r="F159">
        <v>60</v>
      </c>
      <c r="G159" t="s">
        <v>647</v>
      </c>
    </row>
    <row r="160" spans="1:7" x14ac:dyDescent="0.3">
      <c r="A160" s="1" t="s">
        <v>836</v>
      </c>
      <c r="B160" t="s">
        <v>729</v>
      </c>
      <c r="C160" s="2">
        <v>46095</v>
      </c>
      <c r="D160" t="s">
        <v>252</v>
      </c>
      <c r="E160">
        <v>835</v>
      </c>
      <c r="F160">
        <v>15</v>
      </c>
      <c r="G160" t="s">
        <v>647</v>
      </c>
    </row>
    <row r="161" spans="1:7" x14ac:dyDescent="0.3">
      <c r="A161" s="1" t="s">
        <v>837</v>
      </c>
      <c r="B161" t="s">
        <v>697</v>
      </c>
      <c r="C161" s="2">
        <v>46063</v>
      </c>
      <c r="D161" t="s">
        <v>252</v>
      </c>
      <c r="E161">
        <v>630</v>
      </c>
      <c r="F161">
        <v>33</v>
      </c>
      <c r="G161" t="s">
        <v>647</v>
      </c>
    </row>
    <row r="162" spans="1:7" x14ac:dyDescent="0.3">
      <c r="A162" s="1" t="s">
        <v>838</v>
      </c>
      <c r="B162" t="s">
        <v>710</v>
      </c>
      <c r="C162" s="2">
        <v>46314</v>
      </c>
      <c r="D162" t="s">
        <v>244</v>
      </c>
      <c r="E162">
        <v>789</v>
      </c>
      <c r="F162">
        <v>23</v>
      </c>
      <c r="G162" t="s">
        <v>647</v>
      </c>
    </row>
    <row r="163" spans="1:7" x14ac:dyDescent="0.3">
      <c r="A163" s="1" t="s">
        <v>839</v>
      </c>
      <c r="B163" t="s">
        <v>703</v>
      </c>
      <c r="C163" s="2">
        <v>46274</v>
      </c>
      <c r="D163" t="s">
        <v>278</v>
      </c>
      <c r="E163">
        <v>848</v>
      </c>
      <c r="F163">
        <v>44</v>
      </c>
      <c r="G163" t="s">
        <v>647</v>
      </c>
    </row>
    <row r="164" spans="1:7" x14ac:dyDescent="0.3">
      <c r="A164" s="1" t="s">
        <v>840</v>
      </c>
      <c r="B164" t="s">
        <v>670</v>
      </c>
      <c r="C164" s="2">
        <v>46234</v>
      </c>
      <c r="D164" t="s">
        <v>257</v>
      </c>
      <c r="E164">
        <v>337</v>
      </c>
      <c r="F164">
        <v>58</v>
      </c>
      <c r="G164" t="s">
        <v>647</v>
      </c>
    </row>
    <row r="165" spans="1:7" x14ac:dyDescent="0.3">
      <c r="A165" s="1" t="s">
        <v>841</v>
      </c>
      <c r="B165" t="s">
        <v>680</v>
      </c>
      <c r="C165" s="2">
        <v>46347</v>
      </c>
      <c r="D165" t="s">
        <v>244</v>
      </c>
      <c r="E165">
        <v>869</v>
      </c>
      <c r="F165">
        <v>22</v>
      </c>
      <c r="G165" t="s">
        <v>647</v>
      </c>
    </row>
    <row r="166" spans="1:7" x14ac:dyDescent="0.3">
      <c r="A166" s="1" t="s">
        <v>842</v>
      </c>
      <c r="B166" t="s">
        <v>661</v>
      </c>
      <c r="C166" s="2">
        <v>46192</v>
      </c>
      <c r="D166" t="s">
        <v>257</v>
      </c>
      <c r="E166">
        <v>963</v>
      </c>
      <c r="F166">
        <v>6</v>
      </c>
      <c r="G166" t="s">
        <v>647</v>
      </c>
    </row>
    <row r="167" spans="1:7" x14ac:dyDescent="0.3">
      <c r="A167" s="1" t="s">
        <v>843</v>
      </c>
      <c r="B167" t="s">
        <v>676</v>
      </c>
      <c r="C167" s="2">
        <v>46237</v>
      </c>
      <c r="D167" t="s">
        <v>252</v>
      </c>
      <c r="E167">
        <v>455</v>
      </c>
      <c r="F167">
        <v>32</v>
      </c>
      <c r="G167" t="s">
        <v>647</v>
      </c>
    </row>
    <row r="168" spans="1:7" x14ac:dyDescent="0.3">
      <c r="A168" s="1" t="s">
        <v>844</v>
      </c>
      <c r="B168" t="s">
        <v>691</v>
      </c>
      <c r="C168" s="2">
        <v>46250</v>
      </c>
      <c r="D168" t="s">
        <v>278</v>
      </c>
      <c r="E168">
        <v>497</v>
      </c>
      <c r="F168">
        <v>44</v>
      </c>
      <c r="G168" t="s">
        <v>647</v>
      </c>
    </row>
    <row r="169" spans="1:7" x14ac:dyDescent="0.3">
      <c r="A169" s="1" t="s">
        <v>845</v>
      </c>
      <c r="B169" t="s">
        <v>773</v>
      </c>
      <c r="C169" s="2">
        <v>46090</v>
      </c>
      <c r="D169" t="s">
        <v>252</v>
      </c>
      <c r="E169">
        <v>518</v>
      </c>
      <c r="F169">
        <v>32</v>
      </c>
      <c r="G169" t="s">
        <v>647</v>
      </c>
    </row>
    <row r="170" spans="1:7" x14ac:dyDescent="0.3">
      <c r="A170" s="1" t="s">
        <v>846</v>
      </c>
      <c r="B170" t="s">
        <v>680</v>
      </c>
      <c r="C170" s="2">
        <v>46358</v>
      </c>
      <c r="D170" t="s">
        <v>278</v>
      </c>
      <c r="E170">
        <v>934</v>
      </c>
      <c r="F170">
        <v>16</v>
      </c>
      <c r="G170" t="s">
        <v>647</v>
      </c>
    </row>
    <row r="171" spans="1:7" x14ac:dyDescent="0.3">
      <c r="A171" s="1" t="s">
        <v>847</v>
      </c>
      <c r="B171" t="s">
        <v>661</v>
      </c>
      <c r="C171" s="2">
        <v>46338</v>
      </c>
      <c r="D171" t="s">
        <v>278</v>
      </c>
      <c r="E171">
        <v>1083</v>
      </c>
      <c r="F171">
        <v>48</v>
      </c>
      <c r="G171" t="s">
        <v>647</v>
      </c>
    </row>
    <row r="172" spans="1:7" x14ac:dyDescent="0.3">
      <c r="A172" s="1" t="s">
        <v>848</v>
      </c>
      <c r="B172" t="s">
        <v>663</v>
      </c>
      <c r="C172" s="2">
        <v>46383</v>
      </c>
      <c r="D172" t="s">
        <v>252</v>
      </c>
      <c r="E172">
        <v>730</v>
      </c>
      <c r="F172">
        <v>8</v>
      </c>
      <c r="G172" t="s">
        <v>677</v>
      </c>
    </row>
    <row r="173" spans="1:7" x14ac:dyDescent="0.3">
      <c r="A173" s="1" t="s">
        <v>849</v>
      </c>
      <c r="B173" t="s">
        <v>717</v>
      </c>
      <c r="C173" s="2">
        <v>46164</v>
      </c>
      <c r="D173" t="s">
        <v>244</v>
      </c>
      <c r="E173">
        <v>905</v>
      </c>
      <c r="F173">
        <v>39</v>
      </c>
      <c r="G173" t="s">
        <v>647</v>
      </c>
    </row>
    <row r="174" spans="1:7" x14ac:dyDescent="0.3">
      <c r="A174" s="1" t="s">
        <v>850</v>
      </c>
      <c r="B174" t="s">
        <v>712</v>
      </c>
      <c r="C174" s="2">
        <v>46104</v>
      </c>
      <c r="D174" t="s">
        <v>257</v>
      </c>
      <c r="E174">
        <v>789</v>
      </c>
      <c r="F174">
        <v>56</v>
      </c>
      <c r="G174" t="s">
        <v>647</v>
      </c>
    </row>
    <row r="175" spans="1:7" x14ac:dyDescent="0.3">
      <c r="A175" s="1" t="s">
        <v>851</v>
      </c>
      <c r="B175" t="s">
        <v>676</v>
      </c>
      <c r="C175" s="2">
        <v>46351</v>
      </c>
      <c r="D175" t="s">
        <v>244</v>
      </c>
      <c r="E175">
        <v>911</v>
      </c>
      <c r="F175">
        <v>14</v>
      </c>
      <c r="G175" t="s">
        <v>647</v>
      </c>
    </row>
    <row r="176" spans="1:7" x14ac:dyDescent="0.3">
      <c r="A176" s="1" t="s">
        <v>852</v>
      </c>
      <c r="B176" t="s">
        <v>661</v>
      </c>
      <c r="C176" s="2">
        <v>46251</v>
      </c>
      <c r="D176" t="s">
        <v>252</v>
      </c>
      <c r="E176">
        <v>488</v>
      </c>
      <c r="F176">
        <v>36</v>
      </c>
      <c r="G176" t="s">
        <v>647</v>
      </c>
    </row>
    <row r="177" spans="1:7" x14ac:dyDescent="0.3">
      <c r="A177" s="1" t="s">
        <v>853</v>
      </c>
      <c r="B177" t="s">
        <v>714</v>
      </c>
      <c r="C177" s="2">
        <v>46180</v>
      </c>
      <c r="D177" t="s">
        <v>655</v>
      </c>
      <c r="E177">
        <v>1053</v>
      </c>
      <c r="F177">
        <v>35</v>
      </c>
      <c r="G177" t="s">
        <v>647</v>
      </c>
    </row>
    <row r="178" spans="1:7" x14ac:dyDescent="0.3">
      <c r="A178" s="1" t="s">
        <v>854</v>
      </c>
      <c r="B178" t="s">
        <v>680</v>
      </c>
      <c r="C178" s="2">
        <v>46300</v>
      </c>
      <c r="D178" t="s">
        <v>252</v>
      </c>
      <c r="E178">
        <v>1017</v>
      </c>
      <c r="F178">
        <v>44</v>
      </c>
      <c r="G178" t="s">
        <v>647</v>
      </c>
    </row>
    <row r="179" spans="1:7" x14ac:dyDescent="0.3">
      <c r="A179" s="1" t="s">
        <v>855</v>
      </c>
      <c r="B179" t="s">
        <v>676</v>
      </c>
      <c r="C179" s="2">
        <v>46150</v>
      </c>
      <c r="D179" t="s">
        <v>278</v>
      </c>
      <c r="E179">
        <v>640</v>
      </c>
      <c r="F179">
        <v>32</v>
      </c>
      <c r="G179" t="s">
        <v>647</v>
      </c>
    </row>
    <row r="180" spans="1:7" x14ac:dyDescent="0.3">
      <c r="A180" s="1" t="s">
        <v>856</v>
      </c>
      <c r="B180" t="s">
        <v>714</v>
      </c>
      <c r="C180" s="2">
        <v>46091</v>
      </c>
      <c r="D180" t="s">
        <v>257</v>
      </c>
      <c r="E180">
        <v>976</v>
      </c>
      <c r="F180">
        <v>43</v>
      </c>
      <c r="G180" t="s">
        <v>647</v>
      </c>
    </row>
    <row r="181" spans="1:7" x14ac:dyDescent="0.3">
      <c r="A181" s="1" t="s">
        <v>857</v>
      </c>
      <c r="B181" t="s">
        <v>773</v>
      </c>
      <c r="C181" s="2">
        <v>46236</v>
      </c>
      <c r="D181" t="s">
        <v>252</v>
      </c>
      <c r="E181">
        <v>976</v>
      </c>
      <c r="F181">
        <v>54</v>
      </c>
      <c r="G181" t="s">
        <v>677</v>
      </c>
    </row>
    <row r="182" spans="1:7" x14ac:dyDescent="0.3">
      <c r="A182" s="1" t="s">
        <v>858</v>
      </c>
      <c r="B182" t="s">
        <v>786</v>
      </c>
      <c r="C182" s="2">
        <v>46152</v>
      </c>
      <c r="D182" t="s">
        <v>252</v>
      </c>
      <c r="E182">
        <v>819</v>
      </c>
      <c r="F182">
        <v>14</v>
      </c>
      <c r="G182" t="s">
        <v>647</v>
      </c>
    </row>
    <row r="183" spans="1:7" x14ac:dyDescent="0.3">
      <c r="A183" s="1" t="s">
        <v>859</v>
      </c>
      <c r="B183" t="s">
        <v>729</v>
      </c>
      <c r="C183" s="2">
        <v>46082</v>
      </c>
      <c r="D183" t="s">
        <v>655</v>
      </c>
      <c r="E183">
        <v>258</v>
      </c>
      <c r="F183">
        <v>22</v>
      </c>
      <c r="G183" t="s">
        <v>647</v>
      </c>
    </row>
    <row r="184" spans="1:7" x14ac:dyDescent="0.3">
      <c r="A184" s="1" t="s">
        <v>860</v>
      </c>
      <c r="B184" t="s">
        <v>670</v>
      </c>
      <c r="C184" s="2">
        <v>46172</v>
      </c>
      <c r="D184" t="s">
        <v>252</v>
      </c>
      <c r="E184">
        <v>400</v>
      </c>
      <c r="F184">
        <v>23</v>
      </c>
      <c r="G184" t="s">
        <v>647</v>
      </c>
    </row>
    <row r="185" spans="1:7" x14ac:dyDescent="0.3">
      <c r="A185" s="1" t="s">
        <v>861</v>
      </c>
      <c r="B185" t="s">
        <v>682</v>
      </c>
      <c r="C185" s="2">
        <v>46139</v>
      </c>
      <c r="D185" t="s">
        <v>252</v>
      </c>
      <c r="E185">
        <v>352</v>
      </c>
      <c r="F185">
        <v>55</v>
      </c>
      <c r="G185" t="s">
        <v>647</v>
      </c>
    </row>
    <row r="186" spans="1:7" x14ac:dyDescent="0.3">
      <c r="A186" s="1" t="s">
        <v>862</v>
      </c>
      <c r="B186" t="s">
        <v>717</v>
      </c>
      <c r="C186" s="2">
        <v>46241</v>
      </c>
      <c r="D186" t="s">
        <v>655</v>
      </c>
      <c r="E186">
        <v>697</v>
      </c>
      <c r="F186">
        <v>34</v>
      </c>
      <c r="G186" t="s">
        <v>647</v>
      </c>
    </row>
    <row r="187" spans="1:7" x14ac:dyDescent="0.3">
      <c r="A187" s="1" t="s">
        <v>863</v>
      </c>
      <c r="B187" t="s">
        <v>676</v>
      </c>
      <c r="C187" s="2">
        <v>46184</v>
      </c>
      <c r="D187" t="s">
        <v>252</v>
      </c>
      <c r="E187">
        <v>265</v>
      </c>
      <c r="F187">
        <v>12</v>
      </c>
      <c r="G187" t="s">
        <v>647</v>
      </c>
    </row>
    <row r="188" spans="1:7" x14ac:dyDescent="0.3">
      <c r="A188" s="1" t="s">
        <v>864</v>
      </c>
      <c r="B188" t="s">
        <v>673</v>
      </c>
      <c r="C188" s="2">
        <v>46323</v>
      </c>
      <c r="D188" t="s">
        <v>244</v>
      </c>
      <c r="E188">
        <v>206</v>
      </c>
      <c r="F188">
        <v>8</v>
      </c>
      <c r="G188" t="s">
        <v>647</v>
      </c>
    </row>
    <row r="189" spans="1:7" x14ac:dyDescent="0.3">
      <c r="A189" s="1" t="s">
        <v>865</v>
      </c>
      <c r="B189" t="s">
        <v>729</v>
      </c>
      <c r="C189" s="2">
        <v>46254</v>
      </c>
      <c r="D189" t="s">
        <v>244</v>
      </c>
      <c r="E189">
        <v>352</v>
      </c>
      <c r="F189">
        <v>60</v>
      </c>
      <c r="G189" t="s">
        <v>647</v>
      </c>
    </row>
    <row r="190" spans="1:7" x14ac:dyDescent="0.3">
      <c r="A190" s="1" t="s">
        <v>866</v>
      </c>
      <c r="B190" t="s">
        <v>717</v>
      </c>
      <c r="C190" s="2">
        <v>46114</v>
      </c>
      <c r="D190" t="s">
        <v>278</v>
      </c>
      <c r="E190">
        <v>803</v>
      </c>
      <c r="F190">
        <v>39</v>
      </c>
      <c r="G190" t="s">
        <v>647</v>
      </c>
    </row>
    <row r="191" spans="1:7" x14ac:dyDescent="0.3">
      <c r="A191" s="1" t="s">
        <v>867</v>
      </c>
      <c r="B191" t="s">
        <v>676</v>
      </c>
      <c r="C191" s="2">
        <v>46346</v>
      </c>
      <c r="D191" t="s">
        <v>655</v>
      </c>
      <c r="E191">
        <v>1038</v>
      </c>
      <c r="F191">
        <v>40</v>
      </c>
      <c r="G191" t="s">
        <v>647</v>
      </c>
    </row>
    <row r="192" spans="1:7" x14ac:dyDescent="0.3">
      <c r="A192" s="1" t="s">
        <v>868</v>
      </c>
      <c r="B192" t="s">
        <v>673</v>
      </c>
      <c r="C192" s="2">
        <v>46250</v>
      </c>
      <c r="D192" t="s">
        <v>655</v>
      </c>
      <c r="E192">
        <v>1035</v>
      </c>
      <c r="F192">
        <v>24</v>
      </c>
      <c r="G192" t="s">
        <v>647</v>
      </c>
    </row>
    <row r="193" spans="1:7" x14ac:dyDescent="0.3">
      <c r="A193" s="1" t="s">
        <v>869</v>
      </c>
      <c r="B193" t="s">
        <v>657</v>
      </c>
      <c r="C193" s="2">
        <v>46364</v>
      </c>
      <c r="D193" t="s">
        <v>244</v>
      </c>
      <c r="E193">
        <v>1012</v>
      </c>
      <c r="F193">
        <v>19</v>
      </c>
      <c r="G193" t="s">
        <v>647</v>
      </c>
    </row>
    <row r="194" spans="1:7" x14ac:dyDescent="0.3">
      <c r="A194" s="1" t="s">
        <v>870</v>
      </c>
      <c r="B194" t="s">
        <v>710</v>
      </c>
      <c r="C194" s="2">
        <v>46038</v>
      </c>
      <c r="D194" t="s">
        <v>655</v>
      </c>
      <c r="E194">
        <v>595</v>
      </c>
      <c r="F194">
        <v>14</v>
      </c>
      <c r="G194" t="s">
        <v>647</v>
      </c>
    </row>
    <row r="195" spans="1:7" x14ac:dyDescent="0.3">
      <c r="A195" s="1" t="s">
        <v>871</v>
      </c>
      <c r="B195" t="s">
        <v>712</v>
      </c>
      <c r="C195" s="2">
        <v>46037</v>
      </c>
      <c r="D195" t="s">
        <v>244</v>
      </c>
      <c r="E195">
        <v>941</v>
      </c>
      <c r="F195">
        <v>12</v>
      </c>
      <c r="G195" t="s">
        <v>677</v>
      </c>
    </row>
    <row r="196" spans="1:7" x14ac:dyDescent="0.3">
      <c r="A196" s="1" t="s">
        <v>872</v>
      </c>
      <c r="B196" t="s">
        <v>680</v>
      </c>
      <c r="C196" s="2">
        <v>46290</v>
      </c>
      <c r="D196" t="s">
        <v>655</v>
      </c>
      <c r="E196">
        <v>544</v>
      </c>
      <c r="F196">
        <v>37</v>
      </c>
      <c r="G196" t="s">
        <v>647</v>
      </c>
    </row>
    <row r="197" spans="1:7" x14ac:dyDescent="0.3">
      <c r="A197" s="1" t="s">
        <v>873</v>
      </c>
      <c r="B197" t="s">
        <v>689</v>
      </c>
      <c r="C197" s="2">
        <v>46053</v>
      </c>
      <c r="D197" t="s">
        <v>278</v>
      </c>
      <c r="E197">
        <v>1118</v>
      </c>
      <c r="F197">
        <v>14</v>
      </c>
      <c r="G197" t="s">
        <v>647</v>
      </c>
    </row>
    <row r="198" spans="1:7" x14ac:dyDescent="0.3">
      <c r="A198" s="1" t="s">
        <v>874</v>
      </c>
      <c r="B198" t="s">
        <v>676</v>
      </c>
      <c r="C198" s="2">
        <v>46262</v>
      </c>
      <c r="D198" t="s">
        <v>257</v>
      </c>
      <c r="E198">
        <v>1003</v>
      </c>
      <c r="F198">
        <v>60</v>
      </c>
      <c r="G198" t="s">
        <v>647</v>
      </c>
    </row>
    <row r="199" spans="1:7" x14ac:dyDescent="0.3">
      <c r="A199" s="1" t="s">
        <v>875</v>
      </c>
      <c r="B199" t="s">
        <v>705</v>
      </c>
      <c r="C199" s="2">
        <v>46089</v>
      </c>
      <c r="D199" t="s">
        <v>278</v>
      </c>
      <c r="E199">
        <v>265</v>
      </c>
      <c r="F199">
        <v>36</v>
      </c>
      <c r="G199" t="s">
        <v>647</v>
      </c>
    </row>
    <row r="200" spans="1:7" x14ac:dyDescent="0.3">
      <c r="A200" s="1" t="s">
        <v>876</v>
      </c>
      <c r="B200" t="s">
        <v>703</v>
      </c>
      <c r="C200" s="2">
        <v>46172</v>
      </c>
      <c r="D200" t="s">
        <v>278</v>
      </c>
      <c r="E200">
        <v>1131</v>
      </c>
      <c r="F200">
        <v>46</v>
      </c>
      <c r="G200" t="s">
        <v>647</v>
      </c>
    </row>
    <row r="201" spans="1:7" x14ac:dyDescent="0.3">
      <c r="A201" s="1" t="s">
        <v>877</v>
      </c>
      <c r="B201" t="s">
        <v>712</v>
      </c>
      <c r="C201" s="2">
        <v>46199</v>
      </c>
      <c r="D201" t="s">
        <v>244</v>
      </c>
      <c r="E201">
        <v>1054</v>
      </c>
      <c r="F201">
        <v>9</v>
      </c>
      <c r="G201" t="s">
        <v>647</v>
      </c>
    </row>
    <row r="202" spans="1:7" x14ac:dyDescent="0.3">
      <c r="A202" s="1" t="s">
        <v>878</v>
      </c>
      <c r="B202" t="s">
        <v>666</v>
      </c>
      <c r="C202" s="2">
        <v>46170</v>
      </c>
      <c r="D202" t="s">
        <v>278</v>
      </c>
      <c r="E202">
        <v>1013</v>
      </c>
      <c r="F202">
        <v>25</v>
      </c>
      <c r="G202" t="s">
        <v>647</v>
      </c>
    </row>
    <row r="203" spans="1:7" x14ac:dyDescent="0.3">
      <c r="A203" s="1" t="s">
        <v>879</v>
      </c>
      <c r="B203" t="s">
        <v>705</v>
      </c>
      <c r="C203" s="2">
        <v>46140</v>
      </c>
      <c r="D203" t="s">
        <v>244</v>
      </c>
      <c r="E203">
        <v>522</v>
      </c>
      <c r="F203">
        <v>48</v>
      </c>
      <c r="G203" t="s">
        <v>647</v>
      </c>
    </row>
    <row r="204" spans="1:7" x14ac:dyDescent="0.3">
      <c r="A204" s="1" t="s">
        <v>880</v>
      </c>
      <c r="B204" t="s">
        <v>657</v>
      </c>
      <c r="C204" s="2">
        <v>46387</v>
      </c>
      <c r="D204" t="s">
        <v>257</v>
      </c>
      <c r="E204">
        <v>636</v>
      </c>
      <c r="F204">
        <v>24</v>
      </c>
      <c r="G204" t="s">
        <v>647</v>
      </c>
    </row>
    <row r="205" spans="1:7" x14ac:dyDescent="0.3">
      <c r="A205" s="1" t="s">
        <v>881</v>
      </c>
      <c r="B205" t="s">
        <v>653</v>
      </c>
      <c r="C205" s="2">
        <v>46150</v>
      </c>
      <c r="D205" t="s">
        <v>252</v>
      </c>
      <c r="E205">
        <v>831</v>
      </c>
      <c r="F205">
        <v>32</v>
      </c>
      <c r="G205" t="s">
        <v>647</v>
      </c>
    </row>
    <row r="206" spans="1:7" x14ac:dyDescent="0.3">
      <c r="A206" s="1" t="s">
        <v>882</v>
      </c>
      <c r="B206" t="s">
        <v>666</v>
      </c>
      <c r="C206" s="2">
        <v>46127</v>
      </c>
      <c r="D206" t="s">
        <v>244</v>
      </c>
      <c r="E206">
        <v>398</v>
      </c>
      <c r="F206">
        <v>53</v>
      </c>
      <c r="G206" t="s">
        <v>647</v>
      </c>
    </row>
    <row r="207" spans="1:7" x14ac:dyDescent="0.3">
      <c r="A207" s="1" t="s">
        <v>883</v>
      </c>
      <c r="B207" t="s">
        <v>682</v>
      </c>
      <c r="C207" s="2">
        <v>46218</v>
      </c>
      <c r="D207" t="s">
        <v>257</v>
      </c>
      <c r="E207">
        <v>1046</v>
      </c>
      <c r="F207">
        <v>39</v>
      </c>
      <c r="G207" t="s">
        <v>647</v>
      </c>
    </row>
    <row r="208" spans="1:7" x14ac:dyDescent="0.3">
      <c r="A208" s="1" t="s">
        <v>884</v>
      </c>
      <c r="B208" t="s">
        <v>673</v>
      </c>
      <c r="C208" s="2">
        <v>46262</v>
      </c>
      <c r="D208" t="s">
        <v>655</v>
      </c>
      <c r="E208">
        <v>498</v>
      </c>
      <c r="F208">
        <v>7</v>
      </c>
      <c r="G208" t="s">
        <v>647</v>
      </c>
    </row>
    <row r="209" spans="1:7" x14ac:dyDescent="0.3">
      <c r="A209" s="1" t="s">
        <v>885</v>
      </c>
      <c r="B209" t="s">
        <v>668</v>
      </c>
      <c r="C209" s="2">
        <v>46204</v>
      </c>
      <c r="D209" t="s">
        <v>655</v>
      </c>
      <c r="E209">
        <v>1183</v>
      </c>
      <c r="F209">
        <v>16</v>
      </c>
      <c r="G209" t="s">
        <v>647</v>
      </c>
    </row>
    <row r="210" spans="1:7" x14ac:dyDescent="0.3">
      <c r="A210" s="1" t="s">
        <v>886</v>
      </c>
      <c r="B210" t="s">
        <v>666</v>
      </c>
      <c r="C210" s="2">
        <v>46354</v>
      </c>
      <c r="D210" t="s">
        <v>655</v>
      </c>
      <c r="E210">
        <v>467</v>
      </c>
      <c r="F210">
        <v>57</v>
      </c>
      <c r="G210" t="s">
        <v>677</v>
      </c>
    </row>
    <row r="211" spans="1:7" x14ac:dyDescent="0.3">
      <c r="A211" s="1" t="s">
        <v>887</v>
      </c>
      <c r="B211" t="s">
        <v>661</v>
      </c>
      <c r="C211" s="2">
        <v>46194</v>
      </c>
      <c r="D211" t="s">
        <v>655</v>
      </c>
      <c r="E211">
        <v>945</v>
      </c>
      <c r="F211">
        <v>27</v>
      </c>
      <c r="G211" t="s">
        <v>647</v>
      </c>
    </row>
    <row r="212" spans="1:7" x14ac:dyDescent="0.3">
      <c r="A212" s="1" t="s">
        <v>888</v>
      </c>
      <c r="B212" t="s">
        <v>653</v>
      </c>
      <c r="C212" s="2">
        <v>46360</v>
      </c>
      <c r="D212" t="s">
        <v>244</v>
      </c>
      <c r="E212">
        <v>1198</v>
      </c>
      <c r="F212">
        <v>51</v>
      </c>
      <c r="G212" t="s">
        <v>677</v>
      </c>
    </row>
    <row r="213" spans="1:7" x14ac:dyDescent="0.3">
      <c r="A213" s="1" t="s">
        <v>889</v>
      </c>
      <c r="B213" t="s">
        <v>663</v>
      </c>
      <c r="C213" s="2">
        <v>46290</v>
      </c>
      <c r="D213" t="s">
        <v>244</v>
      </c>
      <c r="E213">
        <v>919</v>
      </c>
      <c r="F213">
        <v>60</v>
      </c>
      <c r="G213" t="s">
        <v>647</v>
      </c>
    </row>
    <row r="214" spans="1:7" x14ac:dyDescent="0.3">
      <c r="A214" s="1" t="s">
        <v>890</v>
      </c>
      <c r="B214" t="s">
        <v>686</v>
      </c>
      <c r="C214" s="2">
        <v>46056</v>
      </c>
      <c r="D214" t="s">
        <v>252</v>
      </c>
      <c r="E214">
        <v>246</v>
      </c>
      <c r="F214">
        <v>13</v>
      </c>
      <c r="G214" t="s">
        <v>647</v>
      </c>
    </row>
    <row r="215" spans="1:7" x14ac:dyDescent="0.3">
      <c r="A215" s="1" t="s">
        <v>891</v>
      </c>
      <c r="B215" t="s">
        <v>653</v>
      </c>
      <c r="C215" s="2">
        <v>46379</v>
      </c>
      <c r="D215" t="s">
        <v>244</v>
      </c>
      <c r="E215">
        <v>211</v>
      </c>
      <c r="F215">
        <v>52</v>
      </c>
      <c r="G215" t="s">
        <v>677</v>
      </c>
    </row>
    <row r="216" spans="1:7" x14ac:dyDescent="0.3">
      <c r="A216" s="1" t="s">
        <v>892</v>
      </c>
      <c r="B216" t="s">
        <v>661</v>
      </c>
      <c r="C216" s="2">
        <v>46255</v>
      </c>
      <c r="D216" t="s">
        <v>257</v>
      </c>
      <c r="E216">
        <v>1174</v>
      </c>
      <c r="F216">
        <v>11</v>
      </c>
      <c r="G216" t="s">
        <v>647</v>
      </c>
    </row>
    <row r="217" spans="1:7" x14ac:dyDescent="0.3">
      <c r="A217" s="1" t="s">
        <v>893</v>
      </c>
      <c r="B217" t="s">
        <v>666</v>
      </c>
      <c r="C217" s="2">
        <v>46238</v>
      </c>
      <c r="D217" t="s">
        <v>252</v>
      </c>
      <c r="E217">
        <v>1174</v>
      </c>
      <c r="F217">
        <v>15</v>
      </c>
      <c r="G217" t="s">
        <v>647</v>
      </c>
    </row>
    <row r="218" spans="1:7" x14ac:dyDescent="0.3">
      <c r="A218" s="1" t="s">
        <v>894</v>
      </c>
      <c r="B218" t="s">
        <v>646</v>
      </c>
      <c r="C218" s="2">
        <v>46277</v>
      </c>
      <c r="D218" t="s">
        <v>252</v>
      </c>
      <c r="E218">
        <v>1187</v>
      </c>
      <c r="F218">
        <v>7</v>
      </c>
      <c r="G218" t="s">
        <v>647</v>
      </c>
    </row>
    <row r="219" spans="1:7" x14ac:dyDescent="0.3">
      <c r="A219" s="1" t="s">
        <v>895</v>
      </c>
      <c r="B219" t="s">
        <v>663</v>
      </c>
      <c r="C219" s="2">
        <v>46119</v>
      </c>
      <c r="D219" t="s">
        <v>252</v>
      </c>
      <c r="E219">
        <v>866</v>
      </c>
      <c r="F219">
        <v>10</v>
      </c>
      <c r="G219" t="s">
        <v>677</v>
      </c>
    </row>
    <row r="220" spans="1:7" x14ac:dyDescent="0.3">
      <c r="A220" s="1" t="s">
        <v>896</v>
      </c>
      <c r="B220" t="s">
        <v>697</v>
      </c>
      <c r="C220" s="2">
        <v>46061</v>
      </c>
      <c r="D220" t="s">
        <v>257</v>
      </c>
      <c r="E220">
        <v>660</v>
      </c>
      <c r="F220">
        <v>11</v>
      </c>
      <c r="G220" t="s">
        <v>647</v>
      </c>
    </row>
    <row r="221" spans="1:7" x14ac:dyDescent="0.3">
      <c r="A221" s="1" t="s">
        <v>897</v>
      </c>
      <c r="B221" t="s">
        <v>729</v>
      </c>
      <c r="C221" s="2">
        <v>46349</v>
      </c>
      <c r="D221" t="s">
        <v>257</v>
      </c>
      <c r="E221">
        <v>433</v>
      </c>
      <c r="F221">
        <v>39</v>
      </c>
      <c r="G221" t="s">
        <v>647</v>
      </c>
    </row>
    <row r="222" spans="1:7" x14ac:dyDescent="0.3">
      <c r="A222" s="1" t="s">
        <v>898</v>
      </c>
      <c r="B222" t="s">
        <v>668</v>
      </c>
      <c r="C222" s="2">
        <v>46201</v>
      </c>
      <c r="D222" t="s">
        <v>252</v>
      </c>
      <c r="E222">
        <v>258</v>
      </c>
      <c r="F222">
        <v>38</v>
      </c>
      <c r="G222" t="s">
        <v>647</v>
      </c>
    </row>
    <row r="223" spans="1:7" x14ac:dyDescent="0.3">
      <c r="A223" s="1" t="s">
        <v>899</v>
      </c>
      <c r="B223" t="s">
        <v>786</v>
      </c>
      <c r="C223" s="2">
        <v>46145</v>
      </c>
      <c r="D223" t="s">
        <v>252</v>
      </c>
      <c r="E223">
        <v>765</v>
      </c>
      <c r="F223">
        <v>24</v>
      </c>
      <c r="G223" t="s">
        <v>647</v>
      </c>
    </row>
    <row r="224" spans="1:7" x14ac:dyDescent="0.3">
      <c r="A224" s="1" t="s">
        <v>900</v>
      </c>
      <c r="B224" t="s">
        <v>691</v>
      </c>
      <c r="C224" s="2">
        <v>46145</v>
      </c>
      <c r="D224" t="s">
        <v>655</v>
      </c>
      <c r="E224">
        <v>260</v>
      </c>
      <c r="F224">
        <v>31</v>
      </c>
      <c r="G224" t="s">
        <v>647</v>
      </c>
    </row>
    <row r="225" spans="1:7" x14ac:dyDescent="0.3">
      <c r="A225" s="1" t="s">
        <v>901</v>
      </c>
      <c r="B225" t="s">
        <v>786</v>
      </c>
      <c r="C225" s="2">
        <v>46291</v>
      </c>
      <c r="D225" t="s">
        <v>252</v>
      </c>
      <c r="E225">
        <v>771</v>
      </c>
      <c r="F225">
        <v>48</v>
      </c>
      <c r="G225" t="s">
        <v>647</v>
      </c>
    </row>
    <row r="226" spans="1:7" x14ac:dyDescent="0.3">
      <c r="A226" s="1" t="s">
        <v>902</v>
      </c>
      <c r="B226" t="s">
        <v>691</v>
      </c>
      <c r="C226" s="2">
        <v>46188</v>
      </c>
      <c r="D226" t="s">
        <v>257</v>
      </c>
      <c r="E226">
        <v>672</v>
      </c>
      <c r="F226">
        <v>23</v>
      </c>
      <c r="G226" t="s">
        <v>677</v>
      </c>
    </row>
    <row r="227" spans="1:7" x14ac:dyDescent="0.3">
      <c r="A227" s="1" t="s">
        <v>903</v>
      </c>
      <c r="B227" t="s">
        <v>714</v>
      </c>
      <c r="C227" s="2">
        <v>46254</v>
      </c>
      <c r="D227" t="s">
        <v>278</v>
      </c>
      <c r="E227">
        <v>1114</v>
      </c>
      <c r="F227">
        <v>22</v>
      </c>
      <c r="G227" t="s">
        <v>647</v>
      </c>
    </row>
    <row r="228" spans="1:7" x14ac:dyDescent="0.3">
      <c r="A228" s="1" t="s">
        <v>904</v>
      </c>
      <c r="B228" t="s">
        <v>659</v>
      </c>
      <c r="C228" s="2">
        <v>46091</v>
      </c>
      <c r="D228" t="s">
        <v>278</v>
      </c>
      <c r="E228">
        <v>852</v>
      </c>
      <c r="F228">
        <v>7</v>
      </c>
      <c r="G228" t="s">
        <v>677</v>
      </c>
    </row>
    <row r="229" spans="1:7" x14ac:dyDescent="0.3">
      <c r="A229" s="1" t="s">
        <v>905</v>
      </c>
      <c r="B229" t="s">
        <v>707</v>
      </c>
      <c r="C229" s="2">
        <v>46240</v>
      </c>
      <c r="D229" t="s">
        <v>257</v>
      </c>
      <c r="E229">
        <v>1167</v>
      </c>
      <c r="F229">
        <v>28</v>
      </c>
      <c r="G229" t="s">
        <v>647</v>
      </c>
    </row>
    <row r="230" spans="1:7" x14ac:dyDescent="0.3">
      <c r="A230" s="1" t="s">
        <v>906</v>
      </c>
      <c r="B230" t="s">
        <v>651</v>
      </c>
      <c r="C230" s="2">
        <v>46290</v>
      </c>
      <c r="D230" t="s">
        <v>278</v>
      </c>
      <c r="E230">
        <v>983</v>
      </c>
      <c r="F230">
        <v>54</v>
      </c>
      <c r="G230" t="s">
        <v>647</v>
      </c>
    </row>
    <row r="231" spans="1:7" x14ac:dyDescent="0.3">
      <c r="A231" s="1" t="s">
        <v>907</v>
      </c>
      <c r="B231" t="s">
        <v>666</v>
      </c>
      <c r="C231" s="2">
        <v>46338</v>
      </c>
      <c r="D231" t="s">
        <v>655</v>
      </c>
      <c r="E231">
        <v>705</v>
      </c>
      <c r="F231">
        <v>35</v>
      </c>
      <c r="G231" t="s">
        <v>647</v>
      </c>
    </row>
    <row r="232" spans="1:7" x14ac:dyDescent="0.3">
      <c r="A232" s="1" t="s">
        <v>908</v>
      </c>
      <c r="B232" t="s">
        <v>773</v>
      </c>
      <c r="C232" s="2">
        <v>46051</v>
      </c>
      <c r="D232" t="s">
        <v>244</v>
      </c>
      <c r="E232">
        <v>690</v>
      </c>
      <c r="F232">
        <v>26</v>
      </c>
      <c r="G232" t="s">
        <v>647</v>
      </c>
    </row>
    <row r="233" spans="1:7" x14ac:dyDescent="0.3">
      <c r="A233" s="1" t="s">
        <v>909</v>
      </c>
      <c r="B233" t="s">
        <v>714</v>
      </c>
      <c r="C233" s="2">
        <v>46253</v>
      </c>
      <c r="D233" t="s">
        <v>244</v>
      </c>
      <c r="E233">
        <v>286</v>
      </c>
      <c r="F233">
        <v>37</v>
      </c>
      <c r="G233" t="s">
        <v>647</v>
      </c>
    </row>
    <row r="234" spans="1:7" x14ac:dyDescent="0.3">
      <c r="A234" s="1" t="s">
        <v>910</v>
      </c>
      <c r="B234" t="s">
        <v>707</v>
      </c>
      <c r="C234" s="2">
        <v>46200</v>
      </c>
      <c r="D234" t="s">
        <v>278</v>
      </c>
      <c r="E234">
        <v>490</v>
      </c>
      <c r="F234">
        <v>22</v>
      </c>
      <c r="G234" t="s">
        <v>647</v>
      </c>
    </row>
    <row r="235" spans="1:7" x14ac:dyDescent="0.3">
      <c r="A235" s="1" t="s">
        <v>911</v>
      </c>
      <c r="B235" t="s">
        <v>714</v>
      </c>
      <c r="C235" s="2">
        <v>46141</v>
      </c>
      <c r="D235" t="s">
        <v>252</v>
      </c>
      <c r="E235">
        <v>1083</v>
      </c>
      <c r="F235">
        <v>44</v>
      </c>
      <c r="G235" t="s">
        <v>647</v>
      </c>
    </row>
    <row r="236" spans="1:7" x14ac:dyDescent="0.3">
      <c r="A236" s="1" t="s">
        <v>912</v>
      </c>
      <c r="B236" t="s">
        <v>689</v>
      </c>
      <c r="C236" s="2">
        <v>46343</v>
      </c>
      <c r="D236" t="s">
        <v>244</v>
      </c>
      <c r="E236">
        <v>747</v>
      </c>
      <c r="F236">
        <v>9</v>
      </c>
      <c r="G236" t="s">
        <v>647</v>
      </c>
    </row>
    <row r="237" spans="1:7" x14ac:dyDescent="0.3">
      <c r="A237" s="1" t="s">
        <v>913</v>
      </c>
      <c r="B237" t="s">
        <v>697</v>
      </c>
      <c r="C237" s="2">
        <v>46387</v>
      </c>
      <c r="D237" t="s">
        <v>252</v>
      </c>
      <c r="E237">
        <v>653</v>
      </c>
      <c r="F237">
        <v>45</v>
      </c>
      <c r="G237" t="s">
        <v>647</v>
      </c>
    </row>
    <row r="238" spans="1:7" x14ac:dyDescent="0.3">
      <c r="A238" s="1" t="s">
        <v>914</v>
      </c>
      <c r="B238" t="s">
        <v>691</v>
      </c>
      <c r="C238" s="2">
        <v>46034</v>
      </c>
      <c r="D238" t="s">
        <v>252</v>
      </c>
      <c r="E238">
        <v>743</v>
      </c>
      <c r="F238">
        <v>36</v>
      </c>
      <c r="G238" t="s">
        <v>647</v>
      </c>
    </row>
    <row r="239" spans="1:7" x14ac:dyDescent="0.3">
      <c r="A239" s="1" t="s">
        <v>915</v>
      </c>
      <c r="B239" t="s">
        <v>808</v>
      </c>
      <c r="C239" s="2">
        <v>46205</v>
      </c>
      <c r="D239" t="s">
        <v>655</v>
      </c>
      <c r="E239">
        <v>732</v>
      </c>
      <c r="F239">
        <v>10</v>
      </c>
      <c r="G239" t="s">
        <v>647</v>
      </c>
    </row>
    <row r="240" spans="1:7" x14ac:dyDescent="0.3">
      <c r="A240" s="1" t="s">
        <v>916</v>
      </c>
      <c r="B240" t="s">
        <v>703</v>
      </c>
      <c r="C240" s="2">
        <v>46311</v>
      </c>
      <c r="D240" t="s">
        <v>655</v>
      </c>
      <c r="E240">
        <v>1046</v>
      </c>
      <c r="F240">
        <v>23</v>
      </c>
      <c r="G240" t="s">
        <v>647</v>
      </c>
    </row>
    <row r="241" spans="1:7" x14ac:dyDescent="0.3">
      <c r="A241" s="1" t="s">
        <v>917</v>
      </c>
      <c r="B241" t="s">
        <v>676</v>
      </c>
      <c r="C241" s="2">
        <v>46342</v>
      </c>
      <c r="D241" t="s">
        <v>257</v>
      </c>
      <c r="E241">
        <v>1023</v>
      </c>
      <c r="F241">
        <v>16</v>
      </c>
      <c r="G241" t="s">
        <v>677</v>
      </c>
    </row>
    <row r="242" spans="1:7" x14ac:dyDescent="0.3">
      <c r="A242" s="1" t="s">
        <v>918</v>
      </c>
      <c r="B242" t="s">
        <v>680</v>
      </c>
      <c r="C242" s="2">
        <v>46210</v>
      </c>
      <c r="D242" t="s">
        <v>257</v>
      </c>
      <c r="E242">
        <v>765</v>
      </c>
      <c r="F242">
        <v>24</v>
      </c>
      <c r="G242" t="s">
        <v>647</v>
      </c>
    </row>
    <row r="243" spans="1:7" x14ac:dyDescent="0.3">
      <c r="A243" s="1" t="s">
        <v>919</v>
      </c>
      <c r="B243" t="s">
        <v>649</v>
      </c>
      <c r="C243" s="2">
        <v>46226</v>
      </c>
      <c r="D243" t="s">
        <v>278</v>
      </c>
      <c r="E243">
        <v>438</v>
      </c>
      <c r="F243">
        <v>8</v>
      </c>
      <c r="G243" t="s">
        <v>647</v>
      </c>
    </row>
    <row r="244" spans="1:7" x14ac:dyDescent="0.3">
      <c r="A244" s="1" t="s">
        <v>920</v>
      </c>
      <c r="B244" t="s">
        <v>653</v>
      </c>
      <c r="C244" s="2">
        <v>46337</v>
      </c>
      <c r="D244" t="s">
        <v>257</v>
      </c>
      <c r="E244">
        <v>1008</v>
      </c>
      <c r="F244">
        <v>55</v>
      </c>
      <c r="G244" t="s">
        <v>647</v>
      </c>
    </row>
    <row r="245" spans="1:7" x14ac:dyDescent="0.3">
      <c r="A245" s="1" t="s">
        <v>921</v>
      </c>
      <c r="B245" t="s">
        <v>717</v>
      </c>
      <c r="C245" s="2">
        <v>46236</v>
      </c>
      <c r="D245" t="s">
        <v>244</v>
      </c>
      <c r="E245">
        <v>639</v>
      </c>
      <c r="F245">
        <v>14</v>
      </c>
      <c r="G245" t="s">
        <v>647</v>
      </c>
    </row>
    <row r="246" spans="1:7" x14ac:dyDescent="0.3">
      <c r="A246" s="1" t="s">
        <v>922</v>
      </c>
      <c r="B246" t="s">
        <v>668</v>
      </c>
      <c r="C246" s="2">
        <v>46242</v>
      </c>
      <c r="D246" t="s">
        <v>244</v>
      </c>
      <c r="E246">
        <v>519</v>
      </c>
      <c r="F246">
        <v>19</v>
      </c>
      <c r="G246" t="s">
        <v>647</v>
      </c>
    </row>
    <row r="247" spans="1:7" x14ac:dyDescent="0.3">
      <c r="A247" s="1" t="s">
        <v>923</v>
      </c>
      <c r="B247" t="s">
        <v>646</v>
      </c>
      <c r="C247" s="2">
        <v>46181</v>
      </c>
      <c r="D247" t="s">
        <v>252</v>
      </c>
      <c r="E247">
        <v>529</v>
      </c>
      <c r="F247">
        <v>14</v>
      </c>
      <c r="G247" t="s">
        <v>647</v>
      </c>
    </row>
    <row r="248" spans="1:7" x14ac:dyDescent="0.3">
      <c r="A248" s="1" t="s">
        <v>924</v>
      </c>
      <c r="B248" t="s">
        <v>689</v>
      </c>
      <c r="C248" s="2">
        <v>46127</v>
      </c>
      <c r="D248" t="s">
        <v>278</v>
      </c>
      <c r="E248">
        <v>681</v>
      </c>
      <c r="F248">
        <v>60</v>
      </c>
      <c r="G248" t="s">
        <v>647</v>
      </c>
    </row>
    <row r="249" spans="1:7" x14ac:dyDescent="0.3">
      <c r="A249" s="1" t="s">
        <v>925</v>
      </c>
      <c r="B249" t="s">
        <v>663</v>
      </c>
      <c r="C249" s="2">
        <v>46340</v>
      </c>
      <c r="D249" t="s">
        <v>278</v>
      </c>
      <c r="E249">
        <v>404</v>
      </c>
      <c r="F249">
        <v>55</v>
      </c>
      <c r="G249" t="s">
        <v>647</v>
      </c>
    </row>
    <row r="250" spans="1:7" x14ac:dyDescent="0.3">
      <c r="A250" s="1" t="s">
        <v>926</v>
      </c>
      <c r="B250" t="s">
        <v>686</v>
      </c>
      <c r="C250" s="2">
        <v>46141</v>
      </c>
      <c r="D250" t="s">
        <v>278</v>
      </c>
      <c r="E250">
        <v>785</v>
      </c>
      <c r="F250">
        <v>29</v>
      </c>
      <c r="G250" t="s">
        <v>647</v>
      </c>
    </row>
    <row r="251" spans="1:7" x14ac:dyDescent="0.3">
      <c r="A251" s="1" t="s">
        <v>927</v>
      </c>
      <c r="B251" t="s">
        <v>710</v>
      </c>
      <c r="C251" s="2">
        <v>46100</v>
      </c>
      <c r="D251" t="s">
        <v>244</v>
      </c>
      <c r="E251">
        <v>1190</v>
      </c>
      <c r="F251">
        <v>35</v>
      </c>
      <c r="G251" t="s">
        <v>647</v>
      </c>
    </row>
    <row r="252" spans="1:7" x14ac:dyDescent="0.3">
      <c r="A252" s="1" t="s">
        <v>928</v>
      </c>
      <c r="B252" t="s">
        <v>717</v>
      </c>
      <c r="C252" s="2">
        <v>46030</v>
      </c>
      <c r="D252" t="s">
        <v>278</v>
      </c>
      <c r="E252">
        <v>1031</v>
      </c>
      <c r="F252">
        <v>39</v>
      </c>
      <c r="G252" t="s">
        <v>647</v>
      </c>
    </row>
    <row r="253" spans="1:7" x14ac:dyDescent="0.3">
      <c r="A253" s="1" t="s">
        <v>929</v>
      </c>
      <c r="B253" t="s">
        <v>668</v>
      </c>
      <c r="C253" s="2">
        <v>46217</v>
      </c>
      <c r="D253" t="s">
        <v>278</v>
      </c>
      <c r="E253">
        <v>704</v>
      </c>
      <c r="F253">
        <v>49</v>
      </c>
      <c r="G253" t="s">
        <v>647</v>
      </c>
    </row>
    <row r="254" spans="1:7" x14ac:dyDescent="0.3">
      <c r="A254" s="1" t="s">
        <v>930</v>
      </c>
      <c r="B254" t="s">
        <v>714</v>
      </c>
      <c r="C254" s="2">
        <v>46359</v>
      </c>
      <c r="D254" t="s">
        <v>257</v>
      </c>
      <c r="E254">
        <v>428</v>
      </c>
      <c r="F254">
        <v>20</v>
      </c>
      <c r="G254" t="s">
        <v>647</v>
      </c>
    </row>
    <row r="255" spans="1:7" x14ac:dyDescent="0.3">
      <c r="A255" s="1" t="s">
        <v>931</v>
      </c>
      <c r="B255" t="s">
        <v>714</v>
      </c>
      <c r="C255" s="2">
        <v>46033</v>
      </c>
      <c r="D255" t="s">
        <v>244</v>
      </c>
      <c r="E255">
        <v>523</v>
      </c>
      <c r="F255">
        <v>48</v>
      </c>
      <c r="G255" t="s">
        <v>647</v>
      </c>
    </row>
    <row r="256" spans="1:7" x14ac:dyDescent="0.3">
      <c r="A256" s="1" t="s">
        <v>932</v>
      </c>
      <c r="B256" t="s">
        <v>786</v>
      </c>
      <c r="C256" s="2">
        <v>46151</v>
      </c>
      <c r="D256" t="s">
        <v>278</v>
      </c>
      <c r="E256">
        <v>724</v>
      </c>
      <c r="F256">
        <v>47</v>
      </c>
      <c r="G256" t="s">
        <v>647</v>
      </c>
    </row>
    <row r="257" spans="1:7" x14ac:dyDescent="0.3">
      <c r="A257" s="1" t="s">
        <v>933</v>
      </c>
      <c r="B257" t="s">
        <v>703</v>
      </c>
      <c r="C257" s="2">
        <v>46344</v>
      </c>
      <c r="D257" t="s">
        <v>244</v>
      </c>
      <c r="E257">
        <v>1058</v>
      </c>
      <c r="F257">
        <v>6</v>
      </c>
      <c r="G257" t="s">
        <v>677</v>
      </c>
    </row>
    <row r="258" spans="1:7" x14ac:dyDescent="0.3">
      <c r="A258" s="1" t="s">
        <v>934</v>
      </c>
      <c r="B258" t="s">
        <v>705</v>
      </c>
      <c r="C258" s="2">
        <v>46336</v>
      </c>
      <c r="D258" t="s">
        <v>257</v>
      </c>
      <c r="E258">
        <v>607</v>
      </c>
      <c r="F258">
        <v>21</v>
      </c>
      <c r="G258" t="s">
        <v>647</v>
      </c>
    </row>
    <row r="259" spans="1:7" x14ac:dyDescent="0.3">
      <c r="A259" s="1" t="s">
        <v>935</v>
      </c>
      <c r="B259" t="s">
        <v>710</v>
      </c>
      <c r="C259" s="2">
        <v>46150</v>
      </c>
      <c r="D259" t="s">
        <v>244</v>
      </c>
      <c r="E259">
        <v>821</v>
      </c>
      <c r="F259">
        <v>42</v>
      </c>
      <c r="G259" t="s">
        <v>647</v>
      </c>
    </row>
    <row r="260" spans="1:7" x14ac:dyDescent="0.3">
      <c r="A260" s="1" t="s">
        <v>936</v>
      </c>
      <c r="B260" t="s">
        <v>651</v>
      </c>
      <c r="C260" s="2">
        <v>46261</v>
      </c>
      <c r="D260" t="s">
        <v>252</v>
      </c>
      <c r="E260">
        <v>1052</v>
      </c>
      <c r="F260">
        <v>11</v>
      </c>
      <c r="G260" t="s">
        <v>677</v>
      </c>
    </row>
    <row r="261" spans="1:7" x14ac:dyDescent="0.3">
      <c r="A261" s="1" t="s">
        <v>937</v>
      </c>
      <c r="B261" t="s">
        <v>729</v>
      </c>
      <c r="C261" s="2">
        <v>46315</v>
      </c>
      <c r="D261" t="s">
        <v>257</v>
      </c>
      <c r="E261">
        <v>287</v>
      </c>
      <c r="F261">
        <v>26</v>
      </c>
      <c r="G261" t="s">
        <v>647</v>
      </c>
    </row>
    <row r="262" spans="1:7" x14ac:dyDescent="0.3">
      <c r="A262" s="1" t="s">
        <v>938</v>
      </c>
      <c r="B262" t="s">
        <v>682</v>
      </c>
      <c r="C262" s="2">
        <v>46137</v>
      </c>
      <c r="D262" t="s">
        <v>257</v>
      </c>
      <c r="E262">
        <v>329</v>
      </c>
      <c r="F262">
        <v>29</v>
      </c>
      <c r="G262" t="s">
        <v>647</v>
      </c>
    </row>
    <row r="263" spans="1:7" x14ac:dyDescent="0.3">
      <c r="A263" s="1" t="s">
        <v>939</v>
      </c>
      <c r="B263" t="s">
        <v>697</v>
      </c>
      <c r="C263" s="2">
        <v>46033</v>
      </c>
      <c r="D263" t="s">
        <v>655</v>
      </c>
      <c r="E263">
        <v>1083</v>
      </c>
      <c r="F263">
        <v>47</v>
      </c>
      <c r="G263" t="s">
        <v>647</v>
      </c>
    </row>
    <row r="264" spans="1:7" x14ac:dyDescent="0.3">
      <c r="A264" s="1" t="s">
        <v>940</v>
      </c>
      <c r="B264" t="s">
        <v>649</v>
      </c>
      <c r="C264" s="2">
        <v>46265</v>
      </c>
      <c r="D264" t="s">
        <v>252</v>
      </c>
      <c r="E264">
        <v>965</v>
      </c>
      <c r="F264">
        <v>24</v>
      </c>
      <c r="G264" t="s">
        <v>677</v>
      </c>
    </row>
    <row r="265" spans="1:7" x14ac:dyDescent="0.3">
      <c r="A265" s="1" t="s">
        <v>941</v>
      </c>
      <c r="B265" t="s">
        <v>808</v>
      </c>
      <c r="C265" s="2">
        <v>46131</v>
      </c>
      <c r="D265" t="s">
        <v>278</v>
      </c>
      <c r="E265">
        <v>885</v>
      </c>
      <c r="F265">
        <v>20</v>
      </c>
      <c r="G265" t="s">
        <v>647</v>
      </c>
    </row>
    <row r="266" spans="1:7" x14ac:dyDescent="0.3">
      <c r="A266" s="1" t="s">
        <v>942</v>
      </c>
      <c r="B266" t="s">
        <v>646</v>
      </c>
      <c r="C266" s="2">
        <v>46285</v>
      </c>
      <c r="D266" t="s">
        <v>252</v>
      </c>
      <c r="E266">
        <v>1165</v>
      </c>
      <c r="F266">
        <v>56</v>
      </c>
      <c r="G266" t="s">
        <v>647</v>
      </c>
    </row>
    <row r="267" spans="1:7" x14ac:dyDescent="0.3">
      <c r="A267" s="1" t="s">
        <v>943</v>
      </c>
      <c r="B267" t="s">
        <v>670</v>
      </c>
      <c r="C267" s="2">
        <v>46363</v>
      </c>
      <c r="D267" t="s">
        <v>244</v>
      </c>
      <c r="E267">
        <v>205</v>
      </c>
      <c r="F267">
        <v>7</v>
      </c>
      <c r="G267" t="s">
        <v>647</v>
      </c>
    </row>
    <row r="268" spans="1:7" x14ac:dyDescent="0.3">
      <c r="A268" s="1" t="s">
        <v>944</v>
      </c>
      <c r="B268" t="s">
        <v>773</v>
      </c>
      <c r="C268" s="2">
        <v>46360</v>
      </c>
      <c r="D268" t="s">
        <v>278</v>
      </c>
      <c r="E268">
        <v>485</v>
      </c>
      <c r="F268">
        <v>22</v>
      </c>
      <c r="G268" t="s">
        <v>647</v>
      </c>
    </row>
    <row r="269" spans="1:7" x14ac:dyDescent="0.3">
      <c r="A269" s="1" t="s">
        <v>945</v>
      </c>
      <c r="B269" t="s">
        <v>786</v>
      </c>
      <c r="C269" s="2">
        <v>46173</v>
      </c>
      <c r="D269" t="s">
        <v>655</v>
      </c>
      <c r="E269">
        <v>517</v>
      </c>
      <c r="F269">
        <v>25</v>
      </c>
      <c r="G269" t="s">
        <v>647</v>
      </c>
    </row>
    <row r="270" spans="1:7" x14ac:dyDescent="0.3">
      <c r="A270" s="1" t="s">
        <v>946</v>
      </c>
      <c r="B270" t="s">
        <v>703</v>
      </c>
      <c r="C270" s="2">
        <v>46237</v>
      </c>
      <c r="D270" t="s">
        <v>278</v>
      </c>
      <c r="E270">
        <v>889</v>
      </c>
      <c r="F270">
        <v>53</v>
      </c>
      <c r="G270" t="s">
        <v>647</v>
      </c>
    </row>
    <row r="271" spans="1:7" x14ac:dyDescent="0.3">
      <c r="A271" s="1" t="s">
        <v>947</v>
      </c>
      <c r="B271" t="s">
        <v>651</v>
      </c>
      <c r="C271" s="2">
        <v>46208</v>
      </c>
      <c r="D271" t="s">
        <v>257</v>
      </c>
      <c r="E271">
        <v>640</v>
      </c>
      <c r="F271">
        <v>56</v>
      </c>
      <c r="G271" t="s">
        <v>647</v>
      </c>
    </row>
    <row r="272" spans="1:7" x14ac:dyDescent="0.3">
      <c r="A272" s="1" t="s">
        <v>948</v>
      </c>
      <c r="B272" t="s">
        <v>680</v>
      </c>
      <c r="C272" s="2">
        <v>46139</v>
      </c>
      <c r="D272" t="s">
        <v>244</v>
      </c>
      <c r="E272">
        <v>872</v>
      </c>
      <c r="F272">
        <v>53</v>
      </c>
      <c r="G272" t="s">
        <v>647</v>
      </c>
    </row>
    <row r="273" spans="1:7" x14ac:dyDescent="0.3">
      <c r="A273" s="1" t="s">
        <v>949</v>
      </c>
      <c r="B273" t="s">
        <v>710</v>
      </c>
      <c r="C273" s="2">
        <v>46286</v>
      </c>
      <c r="D273" t="s">
        <v>257</v>
      </c>
      <c r="E273">
        <v>1180</v>
      </c>
      <c r="F273">
        <v>53</v>
      </c>
      <c r="G273" t="s">
        <v>677</v>
      </c>
    </row>
    <row r="274" spans="1:7" x14ac:dyDescent="0.3">
      <c r="A274" s="1" t="s">
        <v>950</v>
      </c>
      <c r="B274" t="s">
        <v>691</v>
      </c>
      <c r="C274" s="2">
        <v>46279</v>
      </c>
      <c r="D274" t="s">
        <v>655</v>
      </c>
      <c r="E274">
        <v>1102</v>
      </c>
      <c r="F274">
        <v>15</v>
      </c>
      <c r="G274" t="s">
        <v>647</v>
      </c>
    </row>
    <row r="275" spans="1:7" x14ac:dyDescent="0.3">
      <c r="A275" s="1" t="s">
        <v>951</v>
      </c>
      <c r="B275" t="s">
        <v>710</v>
      </c>
      <c r="C275" s="2">
        <v>46130</v>
      </c>
      <c r="D275" t="s">
        <v>257</v>
      </c>
      <c r="E275">
        <v>527</v>
      </c>
      <c r="F275">
        <v>39</v>
      </c>
      <c r="G275" t="s">
        <v>647</v>
      </c>
    </row>
    <row r="276" spans="1:7" x14ac:dyDescent="0.3">
      <c r="A276" s="1" t="s">
        <v>952</v>
      </c>
      <c r="B276" t="s">
        <v>670</v>
      </c>
      <c r="C276" s="2">
        <v>46226</v>
      </c>
      <c r="D276" t="s">
        <v>257</v>
      </c>
      <c r="E276">
        <v>787</v>
      </c>
      <c r="F276">
        <v>22</v>
      </c>
      <c r="G276" t="s">
        <v>647</v>
      </c>
    </row>
    <row r="277" spans="1:7" x14ac:dyDescent="0.3">
      <c r="A277" s="1" t="s">
        <v>953</v>
      </c>
      <c r="B277" t="s">
        <v>663</v>
      </c>
      <c r="C277" s="2">
        <v>46235</v>
      </c>
      <c r="D277" t="s">
        <v>655</v>
      </c>
      <c r="E277">
        <v>1171</v>
      </c>
      <c r="F277">
        <v>28</v>
      </c>
      <c r="G277" t="s">
        <v>647</v>
      </c>
    </row>
    <row r="278" spans="1:7" x14ac:dyDescent="0.3">
      <c r="A278" s="1" t="s">
        <v>954</v>
      </c>
      <c r="B278" t="s">
        <v>673</v>
      </c>
      <c r="C278" s="2">
        <v>46221</v>
      </c>
      <c r="D278" t="s">
        <v>257</v>
      </c>
      <c r="E278">
        <v>349</v>
      </c>
      <c r="F278">
        <v>24</v>
      </c>
      <c r="G278" t="s">
        <v>647</v>
      </c>
    </row>
    <row r="279" spans="1:7" x14ac:dyDescent="0.3">
      <c r="A279" s="1" t="s">
        <v>955</v>
      </c>
      <c r="B279" t="s">
        <v>673</v>
      </c>
      <c r="C279" s="2">
        <v>46367</v>
      </c>
      <c r="D279" t="s">
        <v>252</v>
      </c>
      <c r="E279">
        <v>394</v>
      </c>
      <c r="F279">
        <v>54</v>
      </c>
      <c r="G279" t="s">
        <v>647</v>
      </c>
    </row>
    <row r="280" spans="1:7" x14ac:dyDescent="0.3">
      <c r="A280" s="1" t="s">
        <v>956</v>
      </c>
      <c r="B280" t="s">
        <v>680</v>
      </c>
      <c r="C280" s="2">
        <v>46152</v>
      </c>
      <c r="D280" t="s">
        <v>278</v>
      </c>
      <c r="E280">
        <v>916</v>
      </c>
      <c r="F280">
        <v>44</v>
      </c>
      <c r="G280" t="s">
        <v>647</v>
      </c>
    </row>
    <row r="281" spans="1:7" x14ac:dyDescent="0.3">
      <c r="A281" s="1" t="s">
        <v>957</v>
      </c>
      <c r="B281" t="s">
        <v>659</v>
      </c>
      <c r="C281" s="2">
        <v>46037</v>
      </c>
      <c r="D281" t="s">
        <v>244</v>
      </c>
      <c r="E281">
        <v>805</v>
      </c>
      <c r="F281">
        <v>22</v>
      </c>
      <c r="G281" t="s">
        <v>647</v>
      </c>
    </row>
    <row r="282" spans="1:7" x14ac:dyDescent="0.3">
      <c r="A282" s="1" t="s">
        <v>958</v>
      </c>
      <c r="B282" t="s">
        <v>666</v>
      </c>
      <c r="C282" s="2">
        <v>46297</v>
      </c>
      <c r="D282" t="s">
        <v>244</v>
      </c>
      <c r="E282">
        <v>816</v>
      </c>
      <c r="F282">
        <v>21</v>
      </c>
      <c r="G282" t="s">
        <v>647</v>
      </c>
    </row>
    <row r="283" spans="1:7" x14ac:dyDescent="0.3">
      <c r="A283" s="1" t="s">
        <v>959</v>
      </c>
      <c r="B283" t="s">
        <v>676</v>
      </c>
      <c r="C283" s="2">
        <v>46350</v>
      </c>
      <c r="D283" t="s">
        <v>252</v>
      </c>
      <c r="E283">
        <v>1078</v>
      </c>
      <c r="F283">
        <v>5</v>
      </c>
      <c r="G283" t="s">
        <v>647</v>
      </c>
    </row>
    <row r="284" spans="1:7" x14ac:dyDescent="0.3">
      <c r="A284" s="1" t="s">
        <v>960</v>
      </c>
      <c r="B284" t="s">
        <v>697</v>
      </c>
      <c r="C284" s="2">
        <v>46236</v>
      </c>
      <c r="D284" t="s">
        <v>244</v>
      </c>
      <c r="E284">
        <v>1058</v>
      </c>
      <c r="F284">
        <v>27</v>
      </c>
      <c r="G284" t="s">
        <v>647</v>
      </c>
    </row>
    <row r="285" spans="1:7" x14ac:dyDescent="0.3">
      <c r="A285" s="1" t="s">
        <v>961</v>
      </c>
      <c r="B285" t="s">
        <v>712</v>
      </c>
      <c r="C285" s="2">
        <v>46371</v>
      </c>
      <c r="D285" t="s">
        <v>278</v>
      </c>
      <c r="E285">
        <v>464</v>
      </c>
      <c r="F285">
        <v>22</v>
      </c>
      <c r="G285" t="s">
        <v>647</v>
      </c>
    </row>
    <row r="286" spans="1:7" x14ac:dyDescent="0.3">
      <c r="A286" s="1" t="s">
        <v>962</v>
      </c>
      <c r="B286" t="s">
        <v>663</v>
      </c>
      <c r="C286" s="2">
        <v>46192</v>
      </c>
      <c r="D286" t="s">
        <v>257</v>
      </c>
      <c r="E286">
        <v>970</v>
      </c>
      <c r="F286">
        <v>40</v>
      </c>
      <c r="G286" t="s">
        <v>647</v>
      </c>
    </row>
    <row r="287" spans="1:7" x14ac:dyDescent="0.3">
      <c r="A287" s="1" t="s">
        <v>963</v>
      </c>
      <c r="B287" t="s">
        <v>649</v>
      </c>
      <c r="C287" s="2">
        <v>46199</v>
      </c>
      <c r="D287" t="s">
        <v>252</v>
      </c>
      <c r="E287">
        <v>391</v>
      </c>
      <c r="F287">
        <v>13</v>
      </c>
      <c r="G287" t="s">
        <v>647</v>
      </c>
    </row>
    <row r="288" spans="1:7" x14ac:dyDescent="0.3">
      <c r="A288" s="1" t="s">
        <v>964</v>
      </c>
      <c r="B288" t="s">
        <v>705</v>
      </c>
      <c r="C288" s="2">
        <v>46340</v>
      </c>
      <c r="D288" t="s">
        <v>252</v>
      </c>
      <c r="E288">
        <v>235</v>
      </c>
      <c r="F288">
        <v>28</v>
      </c>
      <c r="G288" t="s">
        <v>647</v>
      </c>
    </row>
    <row r="289" spans="1:7" x14ac:dyDescent="0.3">
      <c r="A289" s="1" t="s">
        <v>965</v>
      </c>
      <c r="B289" t="s">
        <v>786</v>
      </c>
      <c r="C289" s="2">
        <v>46059</v>
      </c>
      <c r="D289" t="s">
        <v>278</v>
      </c>
      <c r="E289">
        <v>506</v>
      </c>
      <c r="F289">
        <v>8</v>
      </c>
      <c r="G289" t="s">
        <v>647</v>
      </c>
    </row>
    <row r="290" spans="1:7" x14ac:dyDescent="0.3">
      <c r="A290" s="1" t="s">
        <v>966</v>
      </c>
      <c r="B290" t="s">
        <v>714</v>
      </c>
      <c r="C290" s="2">
        <v>46217</v>
      </c>
      <c r="D290" t="s">
        <v>244</v>
      </c>
      <c r="E290">
        <v>659</v>
      </c>
      <c r="F290">
        <v>55</v>
      </c>
      <c r="G290" t="s">
        <v>647</v>
      </c>
    </row>
    <row r="291" spans="1:7" x14ac:dyDescent="0.3">
      <c r="A291" s="1" t="s">
        <v>967</v>
      </c>
      <c r="B291" t="s">
        <v>666</v>
      </c>
      <c r="C291" s="2">
        <v>46075</v>
      </c>
      <c r="D291" t="s">
        <v>252</v>
      </c>
      <c r="E291">
        <v>481</v>
      </c>
      <c r="F291">
        <v>52</v>
      </c>
      <c r="G291" t="s">
        <v>647</v>
      </c>
    </row>
    <row r="292" spans="1:7" x14ac:dyDescent="0.3">
      <c r="A292" s="1" t="s">
        <v>968</v>
      </c>
      <c r="B292" t="s">
        <v>666</v>
      </c>
      <c r="C292" s="2">
        <v>46143</v>
      </c>
      <c r="D292" t="s">
        <v>655</v>
      </c>
      <c r="E292">
        <v>1077</v>
      </c>
      <c r="F292">
        <v>44</v>
      </c>
      <c r="G292" t="s">
        <v>647</v>
      </c>
    </row>
    <row r="293" spans="1:7" x14ac:dyDescent="0.3">
      <c r="A293" s="1" t="s">
        <v>969</v>
      </c>
      <c r="B293" t="s">
        <v>717</v>
      </c>
      <c r="C293" s="2">
        <v>46310</v>
      </c>
      <c r="D293" t="s">
        <v>244</v>
      </c>
      <c r="E293">
        <v>215</v>
      </c>
      <c r="F293">
        <v>27</v>
      </c>
      <c r="G293" t="s">
        <v>647</v>
      </c>
    </row>
    <row r="294" spans="1:7" x14ac:dyDescent="0.3">
      <c r="A294" s="1" t="s">
        <v>970</v>
      </c>
      <c r="B294" t="s">
        <v>663</v>
      </c>
      <c r="C294" s="2">
        <v>46121</v>
      </c>
      <c r="D294" t="s">
        <v>655</v>
      </c>
      <c r="E294">
        <v>829</v>
      </c>
      <c r="F294">
        <v>48</v>
      </c>
      <c r="G294" t="s">
        <v>647</v>
      </c>
    </row>
    <row r="295" spans="1:7" x14ac:dyDescent="0.3">
      <c r="A295" s="1" t="s">
        <v>971</v>
      </c>
      <c r="B295" t="s">
        <v>661</v>
      </c>
      <c r="C295" s="2">
        <v>46305</v>
      </c>
      <c r="D295" t="s">
        <v>655</v>
      </c>
      <c r="E295">
        <v>376</v>
      </c>
      <c r="F295">
        <v>39</v>
      </c>
      <c r="G295" t="s">
        <v>647</v>
      </c>
    </row>
    <row r="296" spans="1:7" x14ac:dyDescent="0.3">
      <c r="A296" s="1" t="s">
        <v>972</v>
      </c>
      <c r="B296" t="s">
        <v>673</v>
      </c>
      <c r="C296" s="2">
        <v>46307</v>
      </c>
      <c r="D296" t="s">
        <v>257</v>
      </c>
      <c r="E296">
        <v>1154</v>
      </c>
      <c r="F296">
        <v>50</v>
      </c>
      <c r="G296" t="s">
        <v>677</v>
      </c>
    </row>
    <row r="297" spans="1:7" x14ac:dyDescent="0.3">
      <c r="A297" s="1" t="s">
        <v>973</v>
      </c>
      <c r="B297" t="s">
        <v>689</v>
      </c>
      <c r="C297" s="2">
        <v>46038</v>
      </c>
      <c r="D297" t="s">
        <v>278</v>
      </c>
      <c r="E297">
        <v>1185</v>
      </c>
      <c r="F297">
        <v>55</v>
      </c>
      <c r="G297" t="s">
        <v>647</v>
      </c>
    </row>
    <row r="298" spans="1:7" x14ac:dyDescent="0.3">
      <c r="A298" s="1" t="s">
        <v>974</v>
      </c>
      <c r="B298" t="s">
        <v>773</v>
      </c>
      <c r="C298" s="2">
        <v>46119</v>
      </c>
      <c r="D298" t="s">
        <v>257</v>
      </c>
      <c r="E298">
        <v>370</v>
      </c>
      <c r="F298">
        <v>29</v>
      </c>
      <c r="G298" t="s">
        <v>647</v>
      </c>
    </row>
    <row r="299" spans="1:7" x14ac:dyDescent="0.3">
      <c r="A299" s="1" t="s">
        <v>975</v>
      </c>
      <c r="B299" t="s">
        <v>670</v>
      </c>
      <c r="C299" s="2">
        <v>46032</v>
      </c>
      <c r="D299" t="s">
        <v>278</v>
      </c>
      <c r="E299">
        <v>230</v>
      </c>
      <c r="F299">
        <v>36</v>
      </c>
      <c r="G299" t="s">
        <v>647</v>
      </c>
    </row>
    <row r="300" spans="1:7" x14ac:dyDescent="0.3">
      <c r="A300" s="1" t="s">
        <v>976</v>
      </c>
      <c r="B300" t="s">
        <v>651</v>
      </c>
      <c r="C300" s="2">
        <v>46285</v>
      </c>
      <c r="D300" t="s">
        <v>257</v>
      </c>
      <c r="E300">
        <v>920</v>
      </c>
      <c r="F300">
        <v>23</v>
      </c>
      <c r="G300" t="s">
        <v>647</v>
      </c>
    </row>
    <row r="301" spans="1:7" x14ac:dyDescent="0.3">
      <c r="A301" s="1" t="s">
        <v>977</v>
      </c>
      <c r="B301" t="s">
        <v>786</v>
      </c>
      <c r="C301" s="2">
        <v>46320</v>
      </c>
      <c r="D301" t="s">
        <v>655</v>
      </c>
      <c r="E301">
        <v>400</v>
      </c>
      <c r="F301">
        <v>20</v>
      </c>
      <c r="G301" t="s">
        <v>647</v>
      </c>
    </row>
    <row r="302" spans="1:7" x14ac:dyDescent="0.3">
      <c r="A302" s="1" t="s">
        <v>978</v>
      </c>
      <c r="B302" t="s">
        <v>786</v>
      </c>
      <c r="C302" s="2">
        <v>46244</v>
      </c>
      <c r="D302" t="s">
        <v>252</v>
      </c>
      <c r="E302">
        <v>354</v>
      </c>
      <c r="F302">
        <v>29</v>
      </c>
      <c r="G302" t="s">
        <v>647</v>
      </c>
    </row>
    <row r="303" spans="1:7" x14ac:dyDescent="0.3">
      <c r="A303" s="1" t="s">
        <v>979</v>
      </c>
      <c r="B303" t="s">
        <v>676</v>
      </c>
      <c r="C303" s="2">
        <v>46048</v>
      </c>
      <c r="D303" t="s">
        <v>278</v>
      </c>
      <c r="E303">
        <v>563</v>
      </c>
      <c r="F303">
        <v>13</v>
      </c>
      <c r="G303" t="s">
        <v>647</v>
      </c>
    </row>
    <row r="304" spans="1:7" x14ac:dyDescent="0.3">
      <c r="A304" s="1" t="s">
        <v>980</v>
      </c>
      <c r="B304" t="s">
        <v>653</v>
      </c>
      <c r="C304" s="2">
        <v>46134</v>
      </c>
      <c r="D304" t="s">
        <v>244</v>
      </c>
      <c r="E304">
        <v>268</v>
      </c>
      <c r="F304">
        <v>23</v>
      </c>
      <c r="G304" t="s">
        <v>647</v>
      </c>
    </row>
    <row r="305" spans="1:7" x14ac:dyDescent="0.3">
      <c r="A305" s="1" t="s">
        <v>981</v>
      </c>
      <c r="B305" t="s">
        <v>659</v>
      </c>
      <c r="C305" s="2">
        <v>46024</v>
      </c>
      <c r="D305" t="s">
        <v>244</v>
      </c>
      <c r="E305">
        <v>865</v>
      </c>
      <c r="F305">
        <v>13</v>
      </c>
      <c r="G305" t="s">
        <v>647</v>
      </c>
    </row>
    <row r="306" spans="1:7" x14ac:dyDescent="0.3">
      <c r="A306" s="1" t="s">
        <v>982</v>
      </c>
      <c r="B306" t="s">
        <v>691</v>
      </c>
      <c r="C306" s="2">
        <v>46052</v>
      </c>
      <c r="D306" t="s">
        <v>252</v>
      </c>
      <c r="E306">
        <v>1008</v>
      </c>
      <c r="F306">
        <v>16</v>
      </c>
      <c r="G306" t="s">
        <v>647</v>
      </c>
    </row>
    <row r="307" spans="1:7" x14ac:dyDescent="0.3">
      <c r="A307" s="1" t="s">
        <v>983</v>
      </c>
      <c r="B307" t="s">
        <v>689</v>
      </c>
      <c r="C307" s="2">
        <v>46068</v>
      </c>
      <c r="D307" t="s">
        <v>278</v>
      </c>
      <c r="E307">
        <v>882</v>
      </c>
      <c r="F307">
        <v>24</v>
      </c>
      <c r="G307" t="s">
        <v>647</v>
      </c>
    </row>
    <row r="308" spans="1:7" x14ac:dyDescent="0.3">
      <c r="A308" s="1" t="s">
        <v>984</v>
      </c>
      <c r="B308" t="s">
        <v>786</v>
      </c>
      <c r="C308" s="2">
        <v>46043</v>
      </c>
      <c r="D308" t="s">
        <v>655</v>
      </c>
      <c r="E308">
        <v>591</v>
      </c>
      <c r="F308">
        <v>44</v>
      </c>
      <c r="G308" t="s">
        <v>647</v>
      </c>
    </row>
    <row r="309" spans="1:7" x14ac:dyDescent="0.3">
      <c r="A309" s="1" t="s">
        <v>985</v>
      </c>
      <c r="B309" t="s">
        <v>651</v>
      </c>
      <c r="C309" s="2">
        <v>46181</v>
      </c>
      <c r="D309" t="s">
        <v>655</v>
      </c>
      <c r="E309">
        <v>207</v>
      </c>
      <c r="F309">
        <v>19</v>
      </c>
      <c r="G309" t="s">
        <v>647</v>
      </c>
    </row>
    <row r="310" spans="1:7" x14ac:dyDescent="0.3">
      <c r="A310" s="1" t="s">
        <v>986</v>
      </c>
      <c r="B310" t="s">
        <v>686</v>
      </c>
      <c r="C310" s="2">
        <v>46256</v>
      </c>
      <c r="D310" t="s">
        <v>655</v>
      </c>
      <c r="E310">
        <v>905</v>
      </c>
      <c r="F310">
        <v>53</v>
      </c>
      <c r="G310" t="s">
        <v>647</v>
      </c>
    </row>
    <row r="311" spans="1:7" x14ac:dyDescent="0.3">
      <c r="A311" s="1" t="s">
        <v>987</v>
      </c>
      <c r="B311" t="s">
        <v>646</v>
      </c>
      <c r="C311" s="2">
        <v>46215</v>
      </c>
      <c r="D311" t="s">
        <v>252</v>
      </c>
      <c r="E311">
        <v>258</v>
      </c>
      <c r="F311">
        <v>60</v>
      </c>
      <c r="G311" t="s">
        <v>677</v>
      </c>
    </row>
    <row r="312" spans="1:7" x14ac:dyDescent="0.3">
      <c r="A312" s="1" t="s">
        <v>988</v>
      </c>
      <c r="B312" t="s">
        <v>661</v>
      </c>
      <c r="C312" s="2">
        <v>46137</v>
      </c>
      <c r="D312" t="s">
        <v>655</v>
      </c>
      <c r="E312">
        <v>470</v>
      </c>
      <c r="F312">
        <v>36</v>
      </c>
      <c r="G312" t="s">
        <v>647</v>
      </c>
    </row>
    <row r="313" spans="1:7" x14ac:dyDescent="0.3">
      <c r="A313" s="1" t="s">
        <v>989</v>
      </c>
      <c r="B313" t="s">
        <v>691</v>
      </c>
      <c r="C313" s="2">
        <v>46328</v>
      </c>
      <c r="D313" t="s">
        <v>655</v>
      </c>
      <c r="E313">
        <v>807</v>
      </c>
      <c r="F313">
        <v>22</v>
      </c>
      <c r="G313" t="s">
        <v>647</v>
      </c>
    </row>
    <row r="314" spans="1:7" x14ac:dyDescent="0.3">
      <c r="A314" s="1" t="s">
        <v>990</v>
      </c>
      <c r="B314" t="s">
        <v>676</v>
      </c>
      <c r="C314" s="2">
        <v>46342</v>
      </c>
      <c r="D314" t="s">
        <v>244</v>
      </c>
      <c r="E314">
        <v>245</v>
      </c>
      <c r="F314">
        <v>55</v>
      </c>
      <c r="G314" t="s">
        <v>647</v>
      </c>
    </row>
    <row r="315" spans="1:7" x14ac:dyDescent="0.3">
      <c r="A315" s="1" t="s">
        <v>991</v>
      </c>
      <c r="B315" t="s">
        <v>703</v>
      </c>
      <c r="C315" s="2">
        <v>46231</v>
      </c>
      <c r="D315" t="s">
        <v>257</v>
      </c>
      <c r="E315">
        <v>1195</v>
      </c>
      <c r="F315">
        <v>60</v>
      </c>
      <c r="G315" t="s">
        <v>647</v>
      </c>
    </row>
    <row r="316" spans="1:7" x14ac:dyDescent="0.3">
      <c r="A316" s="1" t="s">
        <v>992</v>
      </c>
      <c r="B316" t="s">
        <v>666</v>
      </c>
      <c r="C316" s="2">
        <v>46205</v>
      </c>
      <c r="D316" t="s">
        <v>655</v>
      </c>
      <c r="E316">
        <v>475</v>
      </c>
      <c r="F316">
        <v>18</v>
      </c>
      <c r="G316" t="s">
        <v>647</v>
      </c>
    </row>
    <row r="317" spans="1:7" x14ac:dyDescent="0.3">
      <c r="A317" s="1" t="s">
        <v>993</v>
      </c>
      <c r="B317" t="s">
        <v>659</v>
      </c>
      <c r="C317" s="2">
        <v>46174</v>
      </c>
      <c r="D317" t="s">
        <v>655</v>
      </c>
      <c r="E317">
        <v>394</v>
      </c>
      <c r="F317">
        <v>32</v>
      </c>
      <c r="G317" t="s">
        <v>647</v>
      </c>
    </row>
    <row r="318" spans="1:7" x14ac:dyDescent="0.3">
      <c r="A318" s="1" t="s">
        <v>994</v>
      </c>
      <c r="B318" t="s">
        <v>729</v>
      </c>
      <c r="C318" s="2">
        <v>46236</v>
      </c>
      <c r="D318" t="s">
        <v>252</v>
      </c>
      <c r="E318">
        <v>997</v>
      </c>
      <c r="F318">
        <v>49</v>
      </c>
      <c r="G318" t="s">
        <v>677</v>
      </c>
    </row>
    <row r="319" spans="1:7" x14ac:dyDescent="0.3">
      <c r="A319" s="1" t="s">
        <v>995</v>
      </c>
      <c r="B319" t="s">
        <v>686</v>
      </c>
      <c r="C319" s="2">
        <v>46363</v>
      </c>
      <c r="D319" t="s">
        <v>244</v>
      </c>
      <c r="E319">
        <v>324</v>
      </c>
      <c r="F319">
        <v>25</v>
      </c>
      <c r="G319" t="s">
        <v>647</v>
      </c>
    </row>
    <row r="320" spans="1:7" x14ac:dyDescent="0.3">
      <c r="A320" s="1" t="s">
        <v>996</v>
      </c>
      <c r="B320" t="s">
        <v>697</v>
      </c>
      <c r="C320" s="2">
        <v>46134</v>
      </c>
      <c r="D320" t="s">
        <v>252</v>
      </c>
      <c r="E320">
        <v>284</v>
      </c>
      <c r="F320">
        <v>60</v>
      </c>
      <c r="G320" t="s">
        <v>647</v>
      </c>
    </row>
    <row r="321" spans="1:7" x14ac:dyDescent="0.3">
      <c r="A321" s="1" t="s">
        <v>997</v>
      </c>
      <c r="B321" t="s">
        <v>653</v>
      </c>
      <c r="C321" s="2">
        <v>46197</v>
      </c>
      <c r="D321" t="s">
        <v>257</v>
      </c>
      <c r="E321">
        <v>1000</v>
      </c>
      <c r="F321">
        <v>7</v>
      </c>
      <c r="G321" t="s">
        <v>647</v>
      </c>
    </row>
    <row r="322" spans="1:7" x14ac:dyDescent="0.3">
      <c r="A322" s="1" t="s">
        <v>998</v>
      </c>
      <c r="B322" t="s">
        <v>651</v>
      </c>
      <c r="C322" s="2">
        <v>46284</v>
      </c>
      <c r="D322" t="s">
        <v>244</v>
      </c>
      <c r="E322">
        <v>887</v>
      </c>
      <c r="F322">
        <v>11</v>
      </c>
      <c r="G322" t="s">
        <v>647</v>
      </c>
    </row>
    <row r="323" spans="1:7" x14ac:dyDescent="0.3">
      <c r="A323" s="1" t="s">
        <v>999</v>
      </c>
      <c r="B323" t="s">
        <v>653</v>
      </c>
      <c r="C323" s="2">
        <v>46155</v>
      </c>
      <c r="D323" t="s">
        <v>655</v>
      </c>
      <c r="E323">
        <v>583</v>
      </c>
      <c r="F323">
        <v>47</v>
      </c>
      <c r="G323" t="s">
        <v>647</v>
      </c>
    </row>
    <row r="324" spans="1:7" x14ac:dyDescent="0.3">
      <c r="A324" s="1" t="s">
        <v>1000</v>
      </c>
      <c r="B324" t="s">
        <v>659</v>
      </c>
      <c r="C324" s="2">
        <v>46311</v>
      </c>
      <c r="D324" t="s">
        <v>244</v>
      </c>
      <c r="E324">
        <v>464</v>
      </c>
      <c r="F324">
        <v>23</v>
      </c>
      <c r="G324" t="s">
        <v>647</v>
      </c>
    </row>
    <row r="325" spans="1:7" x14ac:dyDescent="0.3">
      <c r="A325" s="1" t="s">
        <v>1001</v>
      </c>
      <c r="B325" t="s">
        <v>668</v>
      </c>
      <c r="C325" s="2">
        <v>46123</v>
      </c>
      <c r="D325" t="s">
        <v>257</v>
      </c>
      <c r="E325">
        <v>817</v>
      </c>
      <c r="F325">
        <v>12</v>
      </c>
      <c r="G325" t="s">
        <v>647</v>
      </c>
    </row>
    <row r="326" spans="1:7" x14ac:dyDescent="0.3">
      <c r="A326" s="1" t="s">
        <v>1002</v>
      </c>
      <c r="B326" t="s">
        <v>703</v>
      </c>
      <c r="C326" s="2">
        <v>46281</v>
      </c>
      <c r="D326" t="s">
        <v>244</v>
      </c>
      <c r="E326">
        <v>256</v>
      </c>
      <c r="F326">
        <v>49</v>
      </c>
      <c r="G326" t="s">
        <v>647</v>
      </c>
    </row>
    <row r="327" spans="1:7" x14ac:dyDescent="0.3">
      <c r="A327" s="1" t="s">
        <v>1003</v>
      </c>
      <c r="B327" t="s">
        <v>714</v>
      </c>
      <c r="C327" s="2">
        <v>46146</v>
      </c>
      <c r="D327" t="s">
        <v>252</v>
      </c>
      <c r="E327">
        <v>594</v>
      </c>
      <c r="F327">
        <v>48</v>
      </c>
      <c r="G327" t="s">
        <v>647</v>
      </c>
    </row>
    <row r="328" spans="1:7" x14ac:dyDescent="0.3">
      <c r="A328" s="1" t="s">
        <v>1004</v>
      </c>
      <c r="B328" t="s">
        <v>729</v>
      </c>
      <c r="C328" s="2">
        <v>46287</v>
      </c>
      <c r="D328" t="s">
        <v>655</v>
      </c>
      <c r="E328">
        <v>433</v>
      </c>
      <c r="F328">
        <v>29</v>
      </c>
      <c r="G328" t="s">
        <v>647</v>
      </c>
    </row>
    <row r="329" spans="1:7" x14ac:dyDescent="0.3">
      <c r="A329" s="1" t="s">
        <v>1005</v>
      </c>
      <c r="B329" t="s">
        <v>808</v>
      </c>
      <c r="C329" s="2">
        <v>46272</v>
      </c>
      <c r="D329" t="s">
        <v>278</v>
      </c>
      <c r="E329">
        <v>506</v>
      </c>
      <c r="F329">
        <v>6</v>
      </c>
      <c r="G329" t="s">
        <v>647</v>
      </c>
    </row>
    <row r="330" spans="1:7" x14ac:dyDescent="0.3">
      <c r="A330" s="1" t="s">
        <v>1006</v>
      </c>
      <c r="B330" t="s">
        <v>714</v>
      </c>
      <c r="C330" s="2">
        <v>46077</v>
      </c>
      <c r="D330" t="s">
        <v>278</v>
      </c>
      <c r="E330">
        <v>485</v>
      </c>
      <c r="F330">
        <v>23</v>
      </c>
      <c r="G330" t="s">
        <v>647</v>
      </c>
    </row>
    <row r="331" spans="1:7" x14ac:dyDescent="0.3">
      <c r="A331" s="1" t="s">
        <v>1007</v>
      </c>
      <c r="B331" t="s">
        <v>703</v>
      </c>
      <c r="C331" s="2">
        <v>46151</v>
      </c>
      <c r="D331" t="s">
        <v>655</v>
      </c>
      <c r="E331">
        <v>464</v>
      </c>
      <c r="F331">
        <v>30</v>
      </c>
      <c r="G331" t="s">
        <v>647</v>
      </c>
    </row>
    <row r="332" spans="1:7" x14ac:dyDescent="0.3">
      <c r="A332" s="1" t="s">
        <v>1008</v>
      </c>
      <c r="B332" t="s">
        <v>717</v>
      </c>
      <c r="C332" s="2">
        <v>46144</v>
      </c>
      <c r="D332" t="s">
        <v>655</v>
      </c>
      <c r="E332">
        <v>1148</v>
      </c>
      <c r="F332">
        <v>54</v>
      </c>
      <c r="G332" t="s">
        <v>647</v>
      </c>
    </row>
    <row r="333" spans="1:7" x14ac:dyDescent="0.3">
      <c r="A333" s="1" t="s">
        <v>1009</v>
      </c>
      <c r="B333" t="s">
        <v>697</v>
      </c>
      <c r="C333" s="2">
        <v>46125</v>
      </c>
      <c r="D333" t="s">
        <v>257</v>
      </c>
      <c r="E333">
        <v>941</v>
      </c>
      <c r="F333">
        <v>12</v>
      </c>
      <c r="G333" t="s">
        <v>647</v>
      </c>
    </row>
    <row r="334" spans="1:7" x14ac:dyDescent="0.3">
      <c r="A334" s="1" t="s">
        <v>1010</v>
      </c>
      <c r="B334" t="s">
        <v>703</v>
      </c>
      <c r="C334" s="2">
        <v>46275</v>
      </c>
      <c r="D334" t="s">
        <v>257</v>
      </c>
      <c r="E334">
        <v>274</v>
      </c>
      <c r="F334">
        <v>14</v>
      </c>
      <c r="G334" t="s">
        <v>647</v>
      </c>
    </row>
    <row r="335" spans="1:7" x14ac:dyDescent="0.3">
      <c r="A335" s="1" t="s">
        <v>1011</v>
      </c>
      <c r="B335" t="s">
        <v>663</v>
      </c>
      <c r="C335" s="2">
        <v>46150</v>
      </c>
      <c r="D335" t="s">
        <v>257</v>
      </c>
      <c r="E335">
        <v>598</v>
      </c>
      <c r="F335">
        <v>23</v>
      </c>
      <c r="G335" t="s">
        <v>647</v>
      </c>
    </row>
    <row r="336" spans="1:7" x14ac:dyDescent="0.3">
      <c r="A336" s="1" t="s">
        <v>1012</v>
      </c>
      <c r="B336" t="s">
        <v>691</v>
      </c>
      <c r="C336" s="2">
        <v>46051</v>
      </c>
      <c r="D336" t="s">
        <v>257</v>
      </c>
      <c r="E336">
        <v>1035</v>
      </c>
      <c r="F336">
        <v>57</v>
      </c>
      <c r="G336" t="s">
        <v>647</v>
      </c>
    </row>
    <row r="337" spans="1:7" x14ac:dyDescent="0.3">
      <c r="A337" s="1" t="s">
        <v>1013</v>
      </c>
      <c r="B337" t="s">
        <v>680</v>
      </c>
      <c r="C337" s="2">
        <v>46133</v>
      </c>
      <c r="D337" t="s">
        <v>257</v>
      </c>
      <c r="E337">
        <v>410</v>
      </c>
      <c r="F337">
        <v>15</v>
      </c>
      <c r="G337" t="s">
        <v>647</v>
      </c>
    </row>
    <row r="338" spans="1:7" x14ac:dyDescent="0.3">
      <c r="A338" s="1" t="s">
        <v>1014</v>
      </c>
      <c r="B338" t="s">
        <v>697</v>
      </c>
      <c r="C338" s="2">
        <v>46110</v>
      </c>
      <c r="D338" t="s">
        <v>244</v>
      </c>
      <c r="E338">
        <v>1193</v>
      </c>
      <c r="F338">
        <v>16</v>
      </c>
      <c r="G338" t="s">
        <v>647</v>
      </c>
    </row>
    <row r="339" spans="1:7" x14ac:dyDescent="0.3">
      <c r="A339" s="1" t="s">
        <v>1015</v>
      </c>
      <c r="B339" t="s">
        <v>703</v>
      </c>
      <c r="C339" s="2">
        <v>46251</v>
      </c>
      <c r="D339" t="s">
        <v>244</v>
      </c>
      <c r="E339">
        <v>342</v>
      </c>
      <c r="F339">
        <v>5</v>
      </c>
      <c r="G339" t="s">
        <v>647</v>
      </c>
    </row>
    <row r="340" spans="1:7" x14ac:dyDescent="0.3">
      <c r="A340" s="1" t="s">
        <v>1016</v>
      </c>
      <c r="B340" t="s">
        <v>651</v>
      </c>
      <c r="C340" s="2">
        <v>46131</v>
      </c>
      <c r="D340" t="s">
        <v>257</v>
      </c>
      <c r="E340">
        <v>222</v>
      </c>
      <c r="F340">
        <v>28</v>
      </c>
      <c r="G340" t="s">
        <v>647</v>
      </c>
    </row>
    <row r="341" spans="1:7" x14ac:dyDescent="0.3">
      <c r="A341" s="1" t="s">
        <v>1017</v>
      </c>
      <c r="B341" t="s">
        <v>707</v>
      </c>
      <c r="C341" s="2">
        <v>46363</v>
      </c>
      <c r="D341" t="s">
        <v>244</v>
      </c>
      <c r="E341">
        <v>622</v>
      </c>
      <c r="F341">
        <v>20</v>
      </c>
      <c r="G341" t="s">
        <v>647</v>
      </c>
    </row>
    <row r="342" spans="1:7" x14ac:dyDescent="0.3">
      <c r="A342" s="1" t="s">
        <v>1018</v>
      </c>
      <c r="B342" t="s">
        <v>808</v>
      </c>
      <c r="C342" s="2">
        <v>46031</v>
      </c>
      <c r="D342" t="s">
        <v>257</v>
      </c>
      <c r="E342">
        <v>270</v>
      </c>
      <c r="F342">
        <v>51</v>
      </c>
      <c r="G342" t="s">
        <v>647</v>
      </c>
    </row>
    <row r="343" spans="1:7" x14ac:dyDescent="0.3">
      <c r="A343" s="1" t="s">
        <v>1019</v>
      </c>
      <c r="B343" t="s">
        <v>659</v>
      </c>
      <c r="C343" s="2">
        <v>46129</v>
      </c>
      <c r="D343" t="s">
        <v>655</v>
      </c>
      <c r="E343">
        <v>942</v>
      </c>
      <c r="F343">
        <v>14</v>
      </c>
      <c r="G343" t="s">
        <v>677</v>
      </c>
    </row>
    <row r="344" spans="1:7" x14ac:dyDescent="0.3">
      <c r="A344" s="1" t="s">
        <v>1020</v>
      </c>
      <c r="B344" t="s">
        <v>691</v>
      </c>
      <c r="C344" s="2">
        <v>46161</v>
      </c>
      <c r="D344" t="s">
        <v>655</v>
      </c>
      <c r="E344">
        <v>712</v>
      </c>
      <c r="F344">
        <v>30</v>
      </c>
      <c r="G344" t="s">
        <v>647</v>
      </c>
    </row>
    <row r="345" spans="1:7" x14ac:dyDescent="0.3">
      <c r="A345" s="1" t="s">
        <v>1021</v>
      </c>
      <c r="B345" t="s">
        <v>691</v>
      </c>
      <c r="C345" s="2">
        <v>46227</v>
      </c>
      <c r="D345" t="s">
        <v>252</v>
      </c>
      <c r="E345">
        <v>568</v>
      </c>
      <c r="F345">
        <v>21</v>
      </c>
      <c r="G345" t="s">
        <v>647</v>
      </c>
    </row>
    <row r="346" spans="1:7" x14ac:dyDescent="0.3">
      <c r="A346" s="1" t="s">
        <v>1022</v>
      </c>
      <c r="B346" t="s">
        <v>707</v>
      </c>
      <c r="C346" s="2">
        <v>46151</v>
      </c>
      <c r="D346" t="s">
        <v>257</v>
      </c>
      <c r="E346">
        <v>1052</v>
      </c>
      <c r="F346">
        <v>34</v>
      </c>
      <c r="G346" t="s">
        <v>677</v>
      </c>
    </row>
    <row r="347" spans="1:7" x14ac:dyDescent="0.3">
      <c r="A347" s="1" t="s">
        <v>1023</v>
      </c>
      <c r="B347" t="s">
        <v>661</v>
      </c>
      <c r="C347" s="2">
        <v>46298</v>
      </c>
      <c r="D347" t="s">
        <v>257</v>
      </c>
      <c r="E347">
        <v>426</v>
      </c>
      <c r="F347">
        <v>30</v>
      </c>
      <c r="G347" t="s">
        <v>647</v>
      </c>
    </row>
    <row r="348" spans="1:7" x14ac:dyDescent="0.3">
      <c r="A348" s="1" t="s">
        <v>1024</v>
      </c>
      <c r="B348" t="s">
        <v>673</v>
      </c>
      <c r="C348" s="2">
        <v>46166</v>
      </c>
      <c r="D348" t="s">
        <v>257</v>
      </c>
      <c r="E348">
        <v>586</v>
      </c>
      <c r="F348">
        <v>54</v>
      </c>
      <c r="G348" t="s">
        <v>647</v>
      </c>
    </row>
    <row r="349" spans="1:7" x14ac:dyDescent="0.3">
      <c r="A349" s="1" t="s">
        <v>1025</v>
      </c>
      <c r="B349" t="s">
        <v>651</v>
      </c>
      <c r="C349" s="2">
        <v>46376</v>
      </c>
      <c r="D349" t="s">
        <v>655</v>
      </c>
      <c r="E349">
        <v>877</v>
      </c>
      <c r="F349">
        <v>26</v>
      </c>
      <c r="G349" t="s">
        <v>647</v>
      </c>
    </row>
    <row r="350" spans="1:7" x14ac:dyDescent="0.3">
      <c r="A350" s="1" t="s">
        <v>1026</v>
      </c>
      <c r="B350" t="s">
        <v>651</v>
      </c>
      <c r="C350" s="2">
        <v>46346</v>
      </c>
      <c r="D350" t="s">
        <v>244</v>
      </c>
      <c r="E350">
        <v>996</v>
      </c>
      <c r="F350">
        <v>22</v>
      </c>
      <c r="G350" t="s">
        <v>647</v>
      </c>
    </row>
    <row r="351" spans="1:7" x14ac:dyDescent="0.3">
      <c r="A351" s="1" t="s">
        <v>1027</v>
      </c>
      <c r="B351" t="s">
        <v>682</v>
      </c>
      <c r="C351" s="2">
        <v>46206</v>
      </c>
      <c r="D351" t="s">
        <v>655</v>
      </c>
      <c r="E351">
        <v>793</v>
      </c>
      <c r="F351">
        <v>15</v>
      </c>
      <c r="G351" t="s">
        <v>647</v>
      </c>
    </row>
    <row r="352" spans="1:7" x14ac:dyDescent="0.3">
      <c r="A352" s="1" t="s">
        <v>1028</v>
      </c>
      <c r="B352" t="s">
        <v>707</v>
      </c>
      <c r="C352" s="2">
        <v>46103</v>
      </c>
      <c r="D352" t="s">
        <v>655</v>
      </c>
      <c r="E352">
        <v>681</v>
      </c>
      <c r="F352">
        <v>59</v>
      </c>
      <c r="G352" t="s">
        <v>647</v>
      </c>
    </row>
    <row r="353" spans="1:7" x14ac:dyDescent="0.3">
      <c r="A353" s="1" t="s">
        <v>1029</v>
      </c>
      <c r="B353" t="s">
        <v>691</v>
      </c>
      <c r="C353" s="2">
        <v>46279</v>
      </c>
      <c r="D353" t="s">
        <v>278</v>
      </c>
      <c r="E353">
        <v>827</v>
      </c>
      <c r="F353">
        <v>19</v>
      </c>
      <c r="G353" t="s">
        <v>647</v>
      </c>
    </row>
    <row r="354" spans="1:7" x14ac:dyDescent="0.3">
      <c r="A354" s="1" t="s">
        <v>1030</v>
      </c>
      <c r="B354" t="s">
        <v>786</v>
      </c>
      <c r="C354" s="2">
        <v>46289</v>
      </c>
      <c r="D354" t="s">
        <v>655</v>
      </c>
      <c r="E354">
        <v>314</v>
      </c>
      <c r="F354">
        <v>57</v>
      </c>
      <c r="G354" t="s">
        <v>647</v>
      </c>
    </row>
    <row r="355" spans="1:7" x14ac:dyDescent="0.3">
      <c r="A355" s="1" t="s">
        <v>1031</v>
      </c>
      <c r="B355" t="s">
        <v>653</v>
      </c>
      <c r="C355" s="2">
        <v>46126</v>
      </c>
      <c r="D355" t="s">
        <v>257</v>
      </c>
      <c r="E355">
        <v>1054</v>
      </c>
      <c r="F355">
        <v>23</v>
      </c>
      <c r="G355" t="s">
        <v>647</v>
      </c>
    </row>
    <row r="356" spans="1:7" x14ac:dyDescent="0.3">
      <c r="A356" s="1" t="s">
        <v>1032</v>
      </c>
      <c r="B356" t="s">
        <v>717</v>
      </c>
      <c r="C356" s="2">
        <v>46055</v>
      </c>
      <c r="D356" t="s">
        <v>655</v>
      </c>
      <c r="E356">
        <v>267</v>
      </c>
      <c r="F356">
        <v>20</v>
      </c>
      <c r="G356" t="s">
        <v>647</v>
      </c>
    </row>
    <row r="357" spans="1:7" x14ac:dyDescent="0.3">
      <c r="A357" s="1" t="s">
        <v>1033</v>
      </c>
      <c r="B357" t="s">
        <v>663</v>
      </c>
      <c r="C357" s="2">
        <v>46218</v>
      </c>
      <c r="D357" t="s">
        <v>278</v>
      </c>
      <c r="E357">
        <v>528</v>
      </c>
      <c r="F357">
        <v>14</v>
      </c>
      <c r="G357" t="s">
        <v>647</v>
      </c>
    </row>
    <row r="358" spans="1:7" x14ac:dyDescent="0.3">
      <c r="A358" s="1" t="s">
        <v>1034</v>
      </c>
      <c r="B358" t="s">
        <v>673</v>
      </c>
      <c r="C358" s="2">
        <v>46143</v>
      </c>
      <c r="D358" t="s">
        <v>252</v>
      </c>
      <c r="E358">
        <v>537</v>
      </c>
      <c r="F358">
        <v>41</v>
      </c>
      <c r="G358" t="s">
        <v>647</v>
      </c>
    </row>
    <row r="359" spans="1:7" x14ac:dyDescent="0.3">
      <c r="A359" s="1" t="s">
        <v>1035</v>
      </c>
      <c r="B359" t="s">
        <v>663</v>
      </c>
      <c r="C359" s="2">
        <v>46106</v>
      </c>
      <c r="D359" t="s">
        <v>257</v>
      </c>
      <c r="E359">
        <v>877</v>
      </c>
      <c r="F359">
        <v>32</v>
      </c>
      <c r="G359" t="s">
        <v>647</v>
      </c>
    </row>
    <row r="360" spans="1:7" x14ac:dyDescent="0.3">
      <c r="A360" s="1" t="s">
        <v>1036</v>
      </c>
      <c r="B360" t="s">
        <v>676</v>
      </c>
      <c r="C360" s="2">
        <v>46051</v>
      </c>
      <c r="D360" t="s">
        <v>655</v>
      </c>
      <c r="E360">
        <v>211</v>
      </c>
      <c r="F360">
        <v>50</v>
      </c>
      <c r="G360" t="s">
        <v>647</v>
      </c>
    </row>
    <row r="361" spans="1:7" x14ac:dyDescent="0.3">
      <c r="A361" s="1" t="s">
        <v>1037</v>
      </c>
      <c r="B361" t="s">
        <v>653</v>
      </c>
      <c r="C361" s="2">
        <v>46185</v>
      </c>
      <c r="D361" t="s">
        <v>257</v>
      </c>
      <c r="E361">
        <v>715</v>
      </c>
      <c r="F361">
        <v>15</v>
      </c>
      <c r="G361" t="s">
        <v>647</v>
      </c>
    </row>
    <row r="362" spans="1:7" x14ac:dyDescent="0.3">
      <c r="A362" s="1" t="s">
        <v>1038</v>
      </c>
      <c r="B362" t="s">
        <v>714</v>
      </c>
      <c r="C362" s="2">
        <v>46154</v>
      </c>
      <c r="D362" t="s">
        <v>278</v>
      </c>
      <c r="E362">
        <v>1017</v>
      </c>
      <c r="F362">
        <v>15</v>
      </c>
      <c r="G362" t="s">
        <v>647</v>
      </c>
    </row>
    <row r="363" spans="1:7" x14ac:dyDescent="0.3">
      <c r="A363" s="1" t="s">
        <v>1039</v>
      </c>
      <c r="B363" t="s">
        <v>649</v>
      </c>
      <c r="C363" s="2">
        <v>46169</v>
      </c>
      <c r="D363" t="s">
        <v>257</v>
      </c>
      <c r="E363">
        <v>866</v>
      </c>
      <c r="F363">
        <v>10</v>
      </c>
      <c r="G363" t="s">
        <v>677</v>
      </c>
    </row>
    <row r="364" spans="1:7" x14ac:dyDescent="0.3">
      <c r="A364" s="1" t="s">
        <v>1040</v>
      </c>
      <c r="B364" t="s">
        <v>707</v>
      </c>
      <c r="C364" s="2">
        <v>46262</v>
      </c>
      <c r="D364" t="s">
        <v>244</v>
      </c>
      <c r="E364">
        <v>695</v>
      </c>
      <c r="F364">
        <v>5</v>
      </c>
      <c r="G364" t="s">
        <v>647</v>
      </c>
    </row>
    <row r="365" spans="1:7" x14ac:dyDescent="0.3">
      <c r="A365" s="1" t="s">
        <v>1041</v>
      </c>
      <c r="B365" t="s">
        <v>646</v>
      </c>
      <c r="C365" s="2">
        <v>46188</v>
      </c>
      <c r="D365" t="s">
        <v>244</v>
      </c>
      <c r="E365">
        <v>615</v>
      </c>
      <c r="F365">
        <v>38</v>
      </c>
      <c r="G365" t="s">
        <v>647</v>
      </c>
    </row>
    <row r="366" spans="1:7" x14ac:dyDescent="0.3">
      <c r="A366" s="1" t="s">
        <v>1042</v>
      </c>
      <c r="B366" t="s">
        <v>705</v>
      </c>
      <c r="C366" s="2">
        <v>46333</v>
      </c>
      <c r="D366" t="s">
        <v>244</v>
      </c>
      <c r="E366">
        <v>1106</v>
      </c>
      <c r="F366">
        <v>13</v>
      </c>
      <c r="G366" t="s">
        <v>647</v>
      </c>
    </row>
    <row r="367" spans="1:7" x14ac:dyDescent="0.3">
      <c r="A367" s="1" t="s">
        <v>1043</v>
      </c>
      <c r="B367" t="s">
        <v>717</v>
      </c>
      <c r="C367" s="2">
        <v>46076</v>
      </c>
      <c r="D367" t="s">
        <v>655</v>
      </c>
      <c r="E367">
        <v>488</v>
      </c>
      <c r="F367">
        <v>38</v>
      </c>
      <c r="G367" t="s">
        <v>647</v>
      </c>
    </row>
    <row r="368" spans="1:7" x14ac:dyDescent="0.3">
      <c r="A368" s="1" t="s">
        <v>1044</v>
      </c>
      <c r="B368" t="s">
        <v>689</v>
      </c>
      <c r="C368" s="2">
        <v>46352</v>
      </c>
      <c r="D368" t="s">
        <v>278</v>
      </c>
      <c r="E368">
        <v>977</v>
      </c>
      <c r="F368">
        <v>42</v>
      </c>
      <c r="G368" t="s">
        <v>647</v>
      </c>
    </row>
    <row r="369" spans="1:7" x14ac:dyDescent="0.3">
      <c r="A369" s="1" t="s">
        <v>1045</v>
      </c>
      <c r="B369" t="s">
        <v>691</v>
      </c>
      <c r="C369" s="2">
        <v>46339</v>
      </c>
      <c r="D369" t="s">
        <v>278</v>
      </c>
      <c r="E369">
        <v>1018</v>
      </c>
      <c r="F369">
        <v>5</v>
      </c>
      <c r="G369" t="s">
        <v>647</v>
      </c>
    </row>
    <row r="370" spans="1:7" x14ac:dyDescent="0.3">
      <c r="A370" s="1" t="s">
        <v>1046</v>
      </c>
      <c r="B370" t="s">
        <v>689</v>
      </c>
      <c r="C370" s="2">
        <v>46261</v>
      </c>
      <c r="D370" t="s">
        <v>257</v>
      </c>
      <c r="E370">
        <v>991</v>
      </c>
      <c r="F370">
        <v>21</v>
      </c>
      <c r="G370" t="s">
        <v>677</v>
      </c>
    </row>
    <row r="371" spans="1:7" x14ac:dyDescent="0.3">
      <c r="A371" s="1" t="s">
        <v>1047</v>
      </c>
      <c r="B371" t="s">
        <v>670</v>
      </c>
      <c r="C371" s="2">
        <v>46281</v>
      </c>
      <c r="D371" t="s">
        <v>252</v>
      </c>
      <c r="E371">
        <v>958</v>
      </c>
      <c r="F371">
        <v>48</v>
      </c>
      <c r="G371" t="s">
        <v>677</v>
      </c>
    </row>
    <row r="372" spans="1:7" x14ac:dyDescent="0.3">
      <c r="A372" s="1" t="s">
        <v>1048</v>
      </c>
      <c r="B372" t="s">
        <v>646</v>
      </c>
      <c r="C372" s="2">
        <v>46359</v>
      </c>
      <c r="D372" t="s">
        <v>244</v>
      </c>
      <c r="E372">
        <v>763</v>
      </c>
      <c r="F372">
        <v>18</v>
      </c>
      <c r="G372" t="s">
        <v>647</v>
      </c>
    </row>
    <row r="373" spans="1:7" x14ac:dyDescent="0.3">
      <c r="A373" s="1" t="s">
        <v>1049</v>
      </c>
      <c r="B373" t="s">
        <v>703</v>
      </c>
      <c r="C373" s="2">
        <v>46247</v>
      </c>
      <c r="D373" t="s">
        <v>278</v>
      </c>
      <c r="E373">
        <v>342</v>
      </c>
      <c r="F373">
        <v>13</v>
      </c>
      <c r="G373" t="s">
        <v>647</v>
      </c>
    </row>
    <row r="374" spans="1:7" x14ac:dyDescent="0.3">
      <c r="A374" s="1" t="s">
        <v>1050</v>
      </c>
      <c r="B374" t="s">
        <v>657</v>
      </c>
      <c r="C374" s="2">
        <v>46160</v>
      </c>
      <c r="D374" t="s">
        <v>244</v>
      </c>
      <c r="E374">
        <v>212</v>
      </c>
      <c r="F374">
        <v>42</v>
      </c>
      <c r="G374" t="s">
        <v>647</v>
      </c>
    </row>
    <row r="375" spans="1:7" x14ac:dyDescent="0.3">
      <c r="A375" s="1" t="s">
        <v>1051</v>
      </c>
      <c r="B375" t="s">
        <v>686</v>
      </c>
      <c r="C375" s="2">
        <v>46278</v>
      </c>
      <c r="D375" t="s">
        <v>257</v>
      </c>
      <c r="E375">
        <v>449</v>
      </c>
      <c r="F375">
        <v>21</v>
      </c>
      <c r="G375" t="s">
        <v>647</v>
      </c>
    </row>
    <row r="376" spans="1:7" x14ac:dyDescent="0.3">
      <c r="A376" s="1" t="s">
        <v>1052</v>
      </c>
      <c r="B376" t="s">
        <v>673</v>
      </c>
      <c r="C376" s="2">
        <v>46221</v>
      </c>
      <c r="D376" t="s">
        <v>278</v>
      </c>
      <c r="E376">
        <v>512</v>
      </c>
      <c r="F376">
        <v>31</v>
      </c>
      <c r="G376" t="s">
        <v>647</v>
      </c>
    </row>
    <row r="377" spans="1:7" x14ac:dyDescent="0.3">
      <c r="A377" s="1" t="s">
        <v>1053</v>
      </c>
      <c r="B377" t="s">
        <v>676</v>
      </c>
      <c r="C377" s="2">
        <v>46332</v>
      </c>
      <c r="D377" t="s">
        <v>244</v>
      </c>
      <c r="E377">
        <v>408</v>
      </c>
      <c r="F377">
        <v>14</v>
      </c>
      <c r="G377" t="s">
        <v>647</v>
      </c>
    </row>
    <row r="378" spans="1:7" x14ac:dyDescent="0.3">
      <c r="A378" s="1" t="s">
        <v>1054</v>
      </c>
      <c r="B378" t="s">
        <v>682</v>
      </c>
      <c r="C378" s="2">
        <v>46318</v>
      </c>
      <c r="D378" t="s">
        <v>244</v>
      </c>
      <c r="E378">
        <v>300</v>
      </c>
      <c r="F378">
        <v>40</v>
      </c>
      <c r="G378" t="s">
        <v>647</v>
      </c>
    </row>
    <row r="379" spans="1:7" x14ac:dyDescent="0.3">
      <c r="A379" s="1" t="s">
        <v>1055</v>
      </c>
      <c r="B379" t="s">
        <v>717</v>
      </c>
      <c r="C379" s="2">
        <v>46023</v>
      </c>
      <c r="D379" t="s">
        <v>257</v>
      </c>
      <c r="E379">
        <v>969</v>
      </c>
      <c r="F379">
        <v>15</v>
      </c>
      <c r="G379" t="s">
        <v>647</v>
      </c>
    </row>
    <row r="380" spans="1:7" x14ac:dyDescent="0.3">
      <c r="A380" s="1" t="s">
        <v>1056</v>
      </c>
      <c r="B380" t="s">
        <v>651</v>
      </c>
      <c r="C380" s="2">
        <v>46158</v>
      </c>
      <c r="D380" t="s">
        <v>257</v>
      </c>
      <c r="E380">
        <v>832</v>
      </c>
      <c r="F380">
        <v>49</v>
      </c>
      <c r="G380" t="s">
        <v>647</v>
      </c>
    </row>
    <row r="381" spans="1:7" x14ac:dyDescent="0.3">
      <c r="A381" s="1" t="s">
        <v>1057</v>
      </c>
      <c r="B381" t="s">
        <v>649</v>
      </c>
      <c r="C381" s="2">
        <v>46238</v>
      </c>
      <c r="D381" t="s">
        <v>655</v>
      </c>
      <c r="E381">
        <v>1069</v>
      </c>
      <c r="F381">
        <v>52</v>
      </c>
      <c r="G381" t="s">
        <v>647</v>
      </c>
    </row>
    <row r="382" spans="1:7" x14ac:dyDescent="0.3">
      <c r="A382" s="1" t="s">
        <v>1058</v>
      </c>
      <c r="B382" t="s">
        <v>668</v>
      </c>
      <c r="C382" s="2">
        <v>46170</v>
      </c>
      <c r="D382" t="s">
        <v>257</v>
      </c>
      <c r="E382">
        <v>1019</v>
      </c>
      <c r="F382">
        <v>12</v>
      </c>
      <c r="G382" t="s">
        <v>647</v>
      </c>
    </row>
    <row r="383" spans="1:7" x14ac:dyDescent="0.3">
      <c r="A383" s="1" t="s">
        <v>1059</v>
      </c>
      <c r="B383" t="s">
        <v>668</v>
      </c>
      <c r="C383" s="2">
        <v>46150</v>
      </c>
      <c r="D383" t="s">
        <v>278</v>
      </c>
      <c r="E383">
        <v>238</v>
      </c>
      <c r="F383">
        <v>7</v>
      </c>
      <c r="G383" t="s">
        <v>647</v>
      </c>
    </row>
    <row r="384" spans="1:7" x14ac:dyDescent="0.3">
      <c r="A384" s="1" t="s">
        <v>1060</v>
      </c>
      <c r="B384" t="s">
        <v>714</v>
      </c>
      <c r="C384" s="2">
        <v>46103</v>
      </c>
      <c r="D384" t="s">
        <v>244</v>
      </c>
      <c r="E384">
        <v>310</v>
      </c>
      <c r="F384">
        <v>9</v>
      </c>
      <c r="G384" t="s">
        <v>647</v>
      </c>
    </row>
    <row r="385" spans="1:7" x14ac:dyDescent="0.3">
      <c r="A385" s="1" t="s">
        <v>1061</v>
      </c>
      <c r="B385" t="s">
        <v>651</v>
      </c>
      <c r="C385" s="2">
        <v>46338</v>
      </c>
      <c r="D385" t="s">
        <v>278</v>
      </c>
      <c r="E385">
        <v>1049</v>
      </c>
      <c r="F385">
        <v>32</v>
      </c>
      <c r="G385" t="s">
        <v>647</v>
      </c>
    </row>
    <row r="386" spans="1:7" x14ac:dyDescent="0.3">
      <c r="A386" s="1" t="s">
        <v>1062</v>
      </c>
      <c r="B386" t="s">
        <v>786</v>
      </c>
      <c r="C386" s="2">
        <v>46023</v>
      </c>
      <c r="D386" t="s">
        <v>252</v>
      </c>
      <c r="E386">
        <v>437</v>
      </c>
      <c r="F386">
        <v>59</v>
      </c>
      <c r="G386" t="s">
        <v>647</v>
      </c>
    </row>
    <row r="387" spans="1:7" x14ac:dyDescent="0.3">
      <c r="A387" s="1" t="s">
        <v>1063</v>
      </c>
      <c r="B387" t="s">
        <v>705</v>
      </c>
      <c r="C387" s="2">
        <v>46044</v>
      </c>
      <c r="D387" t="s">
        <v>252</v>
      </c>
      <c r="E387">
        <v>269</v>
      </c>
      <c r="F387">
        <v>21</v>
      </c>
      <c r="G387" t="s">
        <v>647</v>
      </c>
    </row>
    <row r="388" spans="1:7" x14ac:dyDescent="0.3">
      <c r="A388" s="1" t="s">
        <v>1064</v>
      </c>
      <c r="B388" t="s">
        <v>680</v>
      </c>
      <c r="C388" s="2">
        <v>46144</v>
      </c>
      <c r="D388" t="s">
        <v>244</v>
      </c>
      <c r="E388">
        <v>629</v>
      </c>
      <c r="F388">
        <v>47</v>
      </c>
      <c r="G388" t="s">
        <v>647</v>
      </c>
    </row>
    <row r="389" spans="1:7" x14ac:dyDescent="0.3">
      <c r="A389" s="1" t="s">
        <v>1065</v>
      </c>
      <c r="B389" t="s">
        <v>651</v>
      </c>
      <c r="C389" s="2">
        <v>46346</v>
      </c>
      <c r="D389" t="s">
        <v>257</v>
      </c>
      <c r="E389">
        <v>1117</v>
      </c>
      <c r="F389">
        <v>35</v>
      </c>
      <c r="G389" t="s">
        <v>647</v>
      </c>
    </row>
    <row r="390" spans="1:7" x14ac:dyDescent="0.3">
      <c r="A390" s="1" t="s">
        <v>1066</v>
      </c>
      <c r="B390" t="s">
        <v>646</v>
      </c>
      <c r="C390" s="2">
        <v>46167</v>
      </c>
      <c r="D390" t="s">
        <v>278</v>
      </c>
      <c r="E390">
        <v>279</v>
      </c>
      <c r="F390">
        <v>60</v>
      </c>
      <c r="G390" t="s">
        <v>647</v>
      </c>
    </row>
    <row r="391" spans="1:7" x14ac:dyDescent="0.3">
      <c r="A391" s="1" t="s">
        <v>1067</v>
      </c>
      <c r="B391" t="s">
        <v>714</v>
      </c>
      <c r="C391" s="2">
        <v>46177</v>
      </c>
      <c r="D391" t="s">
        <v>252</v>
      </c>
      <c r="E391">
        <v>612</v>
      </c>
      <c r="F391">
        <v>48</v>
      </c>
      <c r="G391" t="s">
        <v>647</v>
      </c>
    </row>
    <row r="392" spans="1:7" x14ac:dyDescent="0.3">
      <c r="A392" s="1" t="s">
        <v>1068</v>
      </c>
      <c r="B392" t="s">
        <v>666</v>
      </c>
      <c r="C392" s="2">
        <v>46140</v>
      </c>
      <c r="D392" t="s">
        <v>244</v>
      </c>
      <c r="E392">
        <v>786</v>
      </c>
      <c r="F392">
        <v>28</v>
      </c>
      <c r="G392" t="s">
        <v>677</v>
      </c>
    </row>
    <row r="393" spans="1:7" x14ac:dyDescent="0.3">
      <c r="A393" s="1" t="s">
        <v>1069</v>
      </c>
      <c r="B393" t="s">
        <v>703</v>
      </c>
      <c r="C393" s="2">
        <v>46209</v>
      </c>
      <c r="D393" t="s">
        <v>278</v>
      </c>
      <c r="E393">
        <v>959</v>
      </c>
      <c r="F393">
        <v>14</v>
      </c>
      <c r="G393" t="s">
        <v>647</v>
      </c>
    </row>
    <row r="394" spans="1:7" x14ac:dyDescent="0.3">
      <c r="A394" s="1" t="s">
        <v>1070</v>
      </c>
      <c r="B394" t="s">
        <v>666</v>
      </c>
      <c r="C394" s="2">
        <v>46047</v>
      </c>
      <c r="D394" t="s">
        <v>257</v>
      </c>
      <c r="E394">
        <v>466</v>
      </c>
      <c r="F394">
        <v>24</v>
      </c>
      <c r="G394" t="s">
        <v>647</v>
      </c>
    </row>
    <row r="395" spans="1:7" x14ac:dyDescent="0.3">
      <c r="A395" s="1" t="s">
        <v>1071</v>
      </c>
      <c r="B395" t="s">
        <v>670</v>
      </c>
      <c r="C395" s="2">
        <v>46035</v>
      </c>
      <c r="D395" t="s">
        <v>278</v>
      </c>
      <c r="E395">
        <v>394</v>
      </c>
      <c r="F395">
        <v>5</v>
      </c>
      <c r="G395" t="s">
        <v>647</v>
      </c>
    </row>
    <row r="396" spans="1:7" x14ac:dyDescent="0.3">
      <c r="A396" s="1" t="s">
        <v>1072</v>
      </c>
      <c r="B396" t="s">
        <v>714</v>
      </c>
      <c r="C396" s="2">
        <v>46027</v>
      </c>
      <c r="D396" t="s">
        <v>655</v>
      </c>
      <c r="E396">
        <v>1054</v>
      </c>
      <c r="F396">
        <v>19</v>
      </c>
      <c r="G396" t="s">
        <v>647</v>
      </c>
    </row>
    <row r="397" spans="1:7" x14ac:dyDescent="0.3">
      <c r="A397" s="1" t="s">
        <v>1073</v>
      </c>
      <c r="B397" t="s">
        <v>786</v>
      </c>
      <c r="C397" s="2">
        <v>46355</v>
      </c>
      <c r="D397" t="s">
        <v>257</v>
      </c>
      <c r="E397">
        <v>557</v>
      </c>
      <c r="F397">
        <v>58</v>
      </c>
      <c r="G397" t="s">
        <v>677</v>
      </c>
    </row>
    <row r="398" spans="1:7" x14ac:dyDescent="0.3">
      <c r="A398" s="1" t="s">
        <v>1074</v>
      </c>
      <c r="B398" t="s">
        <v>673</v>
      </c>
      <c r="C398" s="2">
        <v>46179</v>
      </c>
      <c r="D398" t="s">
        <v>252</v>
      </c>
      <c r="E398">
        <v>588</v>
      </c>
      <c r="F398">
        <v>52</v>
      </c>
      <c r="G398" t="s">
        <v>647</v>
      </c>
    </row>
    <row r="399" spans="1:7" x14ac:dyDescent="0.3">
      <c r="A399" s="1" t="s">
        <v>1075</v>
      </c>
      <c r="B399" t="s">
        <v>668</v>
      </c>
      <c r="C399" s="2">
        <v>46378</v>
      </c>
      <c r="D399" t="s">
        <v>278</v>
      </c>
      <c r="E399">
        <v>990</v>
      </c>
      <c r="F399">
        <v>5</v>
      </c>
      <c r="G399" t="s">
        <v>677</v>
      </c>
    </row>
    <row r="400" spans="1:7" x14ac:dyDescent="0.3">
      <c r="A400" s="1" t="s">
        <v>1076</v>
      </c>
      <c r="B400" t="s">
        <v>651</v>
      </c>
      <c r="C400" s="2">
        <v>46212</v>
      </c>
      <c r="D400" t="s">
        <v>278</v>
      </c>
      <c r="E400">
        <v>410</v>
      </c>
      <c r="F400">
        <v>38</v>
      </c>
      <c r="G400" t="s">
        <v>647</v>
      </c>
    </row>
    <row r="401" spans="1:7" x14ac:dyDescent="0.3">
      <c r="A401" s="1" t="s">
        <v>1077</v>
      </c>
      <c r="B401" t="s">
        <v>705</v>
      </c>
      <c r="C401" s="2">
        <v>46107</v>
      </c>
      <c r="D401" t="s">
        <v>257</v>
      </c>
      <c r="E401">
        <v>228</v>
      </c>
      <c r="F401">
        <v>30</v>
      </c>
      <c r="G401" t="s">
        <v>647</v>
      </c>
    </row>
    <row r="402" spans="1:7" x14ac:dyDescent="0.3">
      <c r="A402" s="1" t="s">
        <v>1078</v>
      </c>
      <c r="B402" t="s">
        <v>707</v>
      </c>
      <c r="C402" s="2">
        <v>46103</v>
      </c>
      <c r="D402" t="s">
        <v>252</v>
      </c>
      <c r="E402">
        <v>885</v>
      </c>
      <c r="F402">
        <v>32</v>
      </c>
      <c r="G402" t="s">
        <v>677</v>
      </c>
    </row>
    <row r="403" spans="1:7" x14ac:dyDescent="0.3">
      <c r="A403" s="1" t="s">
        <v>1079</v>
      </c>
      <c r="B403" t="s">
        <v>710</v>
      </c>
      <c r="C403" s="2">
        <v>46298</v>
      </c>
      <c r="D403" t="s">
        <v>257</v>
      </c>
      <c r="E403">
        <v>1117</v>
      </c>
      <c r="F403">
        <v>15</v>
      </c>
      <c r="G403" t="s">
        <v>647</v>
      </c>
    </row>
    <row r="404" spans="1:7" x14ac:dyDescent="0.3">
      <c r="A404" s="1" t="s">
        <v>1080</v>
      </c>
      <c r="B404" t="s">
        <v>773</v>
      </c>
      <c r="C404" s="2">
        <v>46182</v>
      </c>
      <c r="D404" t="s">
        <v>278</v>
      </c>
      <c r="E404">
        <v>1058</v>
      </c>
      <c r="F404">
        <v>44</v>
      </c>
      <c r="G404" t="s">
        <v>647</v>
      </c>
    </row>
    <row r="405" spans="1:7" x14ac:dyDescent="0.3">
      <c r="A405" s="1" t="s">
        <v>1081</v>
      </c>
      <c r="B405" t="s">
        <v>646</v>
      </c>
      <c r="C405" s="2">
        <v>46202</v>
      </c>
      <c r="D405" t="s">
        <v>252</v>
      </c>
      <c r="E405">
        <v>987</v>
      </c>
      <c r="F405">
        <v>53</v>
      </c>
      <c r="G405" t="s">
        <v>647</v>
      </c>
    </row>
    <row r="406" spans="1:7" x14ac:dyDescent="0.3">
      <c r="A406" s="1" t="s">
        <v>1082</v>
      </c>
      <c r="B406" t="s">
        <v>773</v>
      </c>
      <c r="C406" s="2">
        <v>46337</v>
      </c>
      <c r="D406" t="s">
        <v>244</v>
      </c>
      <c r="E406">
        <v>551</v>
      </c>
      <c r="F406">
        <v>54</v>
      </c>
      <c r="G406" t="s">
        <v>647</v>
      </c>
    </row>
    <row r="407" spans="1:7" x14ac:dyDescent="0.3">
      <c r="A407" s="1" t="s">
        <v>1083</v>
      </c>
      <c r="B407" t="s">
        <v>659</v>
      </c>
      <c r="C407" s="2">
        <v>46298</v>
      </c>
      <c r="D407" t="s">
        <v>244</v>
      </c>
      <c r="E407">
        <v>913</v>
      </c>
      <c r="F407">
        <v>55</v>
      </c>
      <c r="G407" t="s">
        <v>647</v>
      </c>
    </row>
    <row r="408" spans="1:7" x14ac:dyDescent="0.3">
      <c r="A408" s="1" t="s">
        <v>1084</v>
      </c>
      <c r="B408" t="s">
        <v>676</v>
      </c>
      <c r="C408" s="2">
        <v>46149</v>
      </c>
      <c r="D408" t="s">
        <v>655</v>
      </c>
      <c r="E408">
        <v>868</v>
      </c>
      <c r="F408">
        <v>5</v>
      </c>
      <c r="G408" t="s">
        <v>677</v>
      </c>
    </row>
    <row r="409" spans="1:7" x14ac:dyDescent="0.3">
      <c r="A409" s="1" t="s">
        <v>1085</v>
      </c>
      <c r="B409" t="s">
        <v>786</v>
      </c>
      <c r="C409" s="2">
        <v>46377</v>
      </c>
      <c r="D409" t="s">
        <v>252</v>
      </c>
      <c r="E409">
        <v>778</v>
      </c>
      <c r="F409">
        <v>6</v>
      </c>
      <c r="G409" t="s">
        <v>647</v>
      </c>
    </row>
    <row r="410" spans="1:7" x14ac:dyDescent="0.3">
      <c r="A410" s="1" t="s">
        <v>1086</v>
      </c>
      <c r="B410" t="s">
        <v>670</v>
      </c>
      <c r="C410" s="2">
        <v>46135</v>
      </c>
      <c r="D410" t="s">
        <v>257</v>
      </c>
      <c r="E410">
        <v>1056</v>
      </c>
      <c r="F410">
        <v>53</v>
      </c>
      <c r="G410" t="s">
        <v>647</v>
      </c>
    </row>
    <row r="411" spans="1:7" x14ac:dyDescent="0.3">
      <c r="A411" s="1" t="s">
        <v>1087</v>
      </c>
      <c r="B411" t="s">
        <v>646</v>
      </c>
      <c r="C411" s="2">
        <v>46148</v>
      </c>
      <c r="D411" t="s">
        <v>655</v>
      </c>
      <c r="E411">
        <v>720</v>
      </c>
      <c r="F411">
        <v>31</v>
      </c>
      <c r="G411" t="s">
        <v>647</v>
      </c>
    </row>
    <row r="412" spans="1:7" x14ac:dyDescent="0.3">
      <c r="A412" s="1" t="s">
        <v>1088</v>
      </c>
      <c r="B412" t="s">
        <v>729</v>
      </c>
      <c r="C412" s="2">
        <v>46195</v>
      </c>
      <c r="D412" t="s">
        <v>257</v>
      </c>
      <c r="E412">
        <v>389</v>
      </c>
      <c r="F412">
        <v>16</v>
      </c>
      <c r="G412" t="s">
        <v>647</v>
      </c>
    </row>
    <row r="413" spans="1:7" x14ac:dyDescent="0.3">
      <c r="A413" s="1" t="s">
        <v>1089</v>
      </c>
      <c r="B413" t="s">
        <v>646</v>
      </c>
      <c r="C413" s="2">
        <v>46055</v>
      </c>
      <c r="D413" t="s">
        <v>244</v>
      </c>
      <c r="E413">
        <v>1191</v>
      </c>
      <c r="F413">
        <v>19</v>
      </c>
      <c r="G413" t="s">
        <v>647</v>
      </c>
    </row>
    <row r="414" spans="1:7" x14ac:dyDescent="0.3">
      <c r="A414" s="1" t="s">
        <v>1090</v>
      </c>
      <c r="B414" t="s">
        <v>691</v>
      </c>
      <c r="C414" s="2">
        <v>46077</v>
      </c>
      <c r="D414" t="s">
        <v>252</v>
      </c>
      <c r="E414">
        <v>965</v>
      </c>
      <c r="F414">
        <v>57</v>
      </c>
      <c r="G414" t="s">
        <v>647</v>
      </c>
    </row>
    <row r="415" spans="1:7" x14ac:dyDescent="0.3">
      <c r="A415" s="1" t="s">
        <v>1091</v>
      </c>
      <c r="B415" t="s">
        <v>682</v>
      </c>
      <c r="C415" s="2">
        <v>46067</v>
      </c>
      <c r="D415" t="s">
        <v>244</v>
      </c>
      <c r="E415">
        <v>509</v>
      </c>
      <c r="F415">
        <v>47</v>
      </c>
      <c r="G415" t="s">
        <v>647</v>
      </c>
    </row>
    <row r="416" spans="1:7" x14ac:dyDescent="0.3">
      <c r="A416" s="1" t="s">
        <v>1092</v>
      </c>
      <c r="B416" t="s">
        <v>714</v>
      </c>
      <c r="C416" s="2">
        <v>46241</v>
      </c>
      <c r="D416" t="s">
        <v>278</v>
      </c>
      <c r="E416">
        <v>773</v>
      </c>
      <c r="F416">
        <v>35</v>
      </c>
      <c r="G416" t="s">
        <v>647</v>
      </c>
    </row>
    <row r="417" spans="1:7" x14ac:dyDescent="0.3">
      <c r="A417" s="1" t="s">
        <v>1093</v>
      </c>
      <c r="B417" t="s">
        <v>646</v>
      </c>
      <c r="C417" s="2">
        <v>46353</v>
      </c>
      <c r="D417" t="s">
        <v>252</v>
      </c>
      <c r="E417">
        <v>1126</v>
      </c>
      <c r="F417">
        <v>23</v>
      </c>
      <c r="G417" t="s">
        <v>647</v>
      </c>
    </row>
    <row r="418" spans="1:7" x14ac:dyDescent="0.3">
      <c r="A418" s="1" t="s">
        <v>1094</v>
      </c>
      <c r="B418" t="s">
        <v>682</v>
      </c>
      <c r="C418" s="2">
        <v>46249</v>
      </c>
      <c r="D418" t="s">
        <v>278</v>
      </c>
      <c r="E418">
        <v>1166</v>
      </c>
      <c r="F418">
        <v>35</v>
      </c>
      <c r="G418" t="s">
        <v>647</v>
      </c>
    </row>
    <row r="419" spans="1:7" x14ac:dyDescent="0.3">
      <c r="A419" s="1" t="s">
        <v>1095</v>
      </c>
      <c r="B419" t="s">
        <v>659</v>
      </c>
      <c r="C419" s="2">
        <v>46375</v>
      </c>
      <c r="D419" t="s">
        <v>252</v>
      </c>
      <c r="E419">
        <v>964</v>
      </c>
      <c r="F419">
        <v>30</v>
      </c>
      <c r="G419" t="s">
        <v>647</v>
      </c>
    </row>
    <row r="420" spans="1:7" x14ac:dyDescent="0.3">
      <c r="A420" s="1" t="s">
        <v>1096</v>
      </c>
      <c r="B420" t="s">
        <v>689</v>
      </c>
      <c r="C420" s="2">
        <v>46237</v>
      </c>
      <c r="D420" t="s">
        <v>278</v>
      </c>
      <c r="E420">
        <v>990</v>
      </c>
      <c r="F420">
        <v>5</v>
      </c>
      <c r="G420" t="s">
        <v>647</v>
      </c>
    </row>
    <row r="421" spans="1:7" x14ac:dyDescent="0.3">
      <c r="A421" s="1" t="s">
        <v>1097</v>
      </c>
      <c r="B421" t="s">
        <v>712</v>
      </c>
      <c r="C421" s="2">
        <v>46273</v>
      </c>
      <c r="D421" t="s">
        <v>252</v>
      </c>
      <c r="E421">
        <v>762</v>
      </c>
      <c r="F421">
        <v>27</v>
      </c>
      <c r="G421" t="s">
        <v>647</v>
      </c>
    </row>
    <row r="422" spans="1:7" x14ac:dyDescent="0.3">
      <c r="A422" s="1" t="s">
        <v>1098</v>
      </c>
      <c r="B422" t="s">
        <v>691</v>
      </c>
      <c r="C422" s="2">
        <v>46285</v>
      </c>
      <c r="D422" t="s">
        <v>655</v>
      </c>
      <c r="E422">
        <v>797</v>
      </c>
      <c r="F422">
        <v>49</v>
      </c>
      <c r="G422" t="s">
        <v>647</v>
      </c>
    </row>
    <row r="423" spans="1:7" x14ac:dyDescent="0.3">
      <c r="A423" s="1" t="s">
        <v>1099</v>
      </c>
      <c r="B423" t="s">
        <v>666</v>
      </c>
      <c r="C423" s="2">
        <v>46215</v>
      </c>
      <c r="D423" t="s">
        <v>278</v>
      </c>
      <c r="E423">
        <v>295</v>
      </c>
      <c r="F423">
        <v>45</v>
      </c>
      <c r="G423" t="s">
        <v>647</v>
      </c>
    </row>
    <row r="424" spans="1:7" x14ac:dyDescent="0.3">
      <c r="A424" s="1" t="s">
        <v>1100</v>
      </c>
      <c r="B424" t="s">
        <v>670</v>
      </c>
      <c r="C424" s="2">
        <v>46334</v>
      </c>
      <c r="D424" t="s">
        <v>655</v>
      </c>
      <c r="E424">
        <v>479</v>
      </c>
      <c r="F424">
        <v>41</v>
      </c>
      <c r="G424" t="s">
        <v>647</v>
      </c>
    </row>
    <row r="425" spans="1:7" x14ac:dyDescent="0.3">
      <c r="A425" s="1" t="s">
        <v>1101</v>
      </c>
      <c r="B425" t="s">
        <v>689</v>
      </c>
      <c r="C425" s="2">
        <v>46229</v>
      </c>
      <c r="D425" t="s">
        <v>655</v>
      </c>
      <c r="E425">
        <v>436</v>
      </c>
      <c r="F425">
        <v>34</v>
      </c>
      <c r="G425" t="s">
        <v>647</v>
      </c>
    </row>
    <row r="426" spans="1:7" x14ac:dyDescent="0.3">
      <c r="A426" s="1" t="s">
        <v>1102</v>
      </c>
      <c r="B426" t="s">
        <v>649</v>
      </c>
      <c r="C426" s="2">
        <v>46029</v>
      </c>
      <c r="D426" t="s">
        <v>244</v>
      </c>
      <c r="E426">
        <v>337</v>
      </c>
      <c r="F426">
        <v>53</v>
      </c>
      <c r="G426" t="s">
        <v>647</v>
      </c>
    </row>
    <row r="427" spans="1:7" x14ac:dyDescent="0.3">
      <c r="A427" s="1" t="s">
        <v>1103</v>
      </c>
      <c r="B427" t="s">
        <v>710</v>
      </c>
      <c r="C427" s="2">
        <v>46157</v>
      </c>
      <c r="D427" t="s">
        <v>252</v>
      </c>
      <c r="E427">
        <v>985</v>
      </c>
      <c r="F427">
        <v>25</v>
      </c>
      <c r="G427" t="s">
        <v>677</v>
      </c>
    </row>
    <row r="428" spans="1:7" x14ac:dyDescent="0.3">
      <c r="A428" s="1" t="s">
        <v>1104</v>
      </c>
      <c r="B428" t="s">
        <v>712</v>
      </c>
      <c r="C428" s="2">
        <v>46236</v>
      </c>
      <c r="D428" t="s">
        <v>257</v>
      </c>
      <c r="E428">
        <v>633</v>
      </c>
      <c r="F428">
        <v>16</v>
      </c>
      <c r="G428" t="s">
        <v>647</v>
      </c>
    </row>
    <row r="429" spans="1:7" x14ac:dyDescent="0.3">
      <c r="A429" s="1" t="s">
        <v>1105</v>
      </c>
      <c r="B429" t="s">
        <v>691</v>
      </c>
      <c r="C429" s="2">
        <v>46242</v>
      </c>
      <c r="D429" t="s">
        <v>252</v>
      </c>
      <c r="E429">
        <v>606</v>
      </c>
      <c r="F429">
        <v>49</v>
      </c>
      <c r="G429" t="s">
        <v>647</v>
      </c>
    </row>
    <row r="430" spans="1:7" x14ac:dyDescent="0.3">
      <c r="A430" s="1" t="s">
        <v>1106</v>
      </c>
      <c r="B430" t="s">
        <v>661</v>
      </c>
      <c r="C430" s="2">
        <v>46120</v>
      </c>
      <c r="D430" t="s">
        <v>252</v>
      </c>
      <c r="E430">
        <v>714</v>
      </c>
      <c r="F430">
        <v>55</v>
      </c>
      <c r="G430" t="s">
        <v>647</v>
      </c>
    </row>
    <row r="431" spans="1:7" x14ac:dyDescent="0.3">
      <c r="A431" s="1" t="s">
        <v>1107</v>
      </c>
      <c r="B431" t="s">
        <v>712</v>
      </c>
      <c r="C431" s="2">
        <v>46090</v>
      </c>
      <c r="D431" t="s">
        <v>244</v>
      </c>
      <c r="E431">
        <v>637</v>
      </c>
      <c r="F431">
        <v>39</v>
      </c>
      <c r="G431" t="s">
        <v>677</v>
      </c>
    </row>
    <row r="432" spans="1:7" x14ac:dyDescent="0.3">
      <c r="A432" s="1" t="s">
        <v>1108</v>
      </c>
      <c r="B432" t="s">
        <v>657</v>
      </c>
      <c r="C432" s="2">
        <v>46209</v>
      </c>
      <c r="D432" t="s">
        <v>278</v>
      </c>
      <c r="E432">
        <v>781</v>
      </c>
      <c r="F432">
        <v>38</v>
      </c>
      <c r="G432" t="s">
        <v>677</v>
      </c>
    </row>
    <row r="433" spans="1:7" x14ac:dyDescent="0.3">
      <c r="A433" s="1" t="s">
        <v>1109</v>
      </c>
      <c r="B433" t="s">
        <v>651</v>
      </c>
      <c r="C433" s="2">
        <v>46115</v>
      </c>
      <c r="D433" t="s">
        <v>252</v>
      </c>
      <c r="E433">
        <v>784</v>
      </c>
      <c r="F433">
        <v>5</v>
      </c>
      <c r="G433" t="s">
        <v>647</v>
      </c>
    </row>
    <row r="434" spans="1:7" x14ac:dyDescent="0.3">
      <c r="A434" s="1" t="s">
        <v>1110</v>
      </c>
      <c r="B434" t="s">
        <v>705</v>
      </c>
      <c r="C434" s="2">
        <v>46153</v>
      </c>
      <c r="D434" t="s">
        <v>252</v>
      </c>
      <c r="E434">
        <v>932</v>
      </c>
      <c r="F434">
        <v>54</v>
      </c>
      <c r="G434" t="s">
        <v>647</v>
      </c>
    </row>
    <row r="435" spans="1:7" x14ac:dyDescent="0.3">
      <c r="A435" s="1" t="s">
        <v>1111</v>
      </c>
      <c r="B435" t="s">
        <v>808</v>
      </c>
      <c r="C435" s="2">
        <v>46352</v>
      </c>
      <c r="D435" t="s">
        <v>278</v>
      </c>
      <c r="E435">
        <v>418</v>
      </c>
      <c r="F435">
        <v>60</v>
      </c>
      <c r="G435" t="s">
        <v>647</v>
      </c>
    </row>
    <row r="436" spans="1:7" x14ac:dyDescent="0.3">
      <c r="A436" s="1" t="s">
        <v>1112</v>
      </c>
      <c r="B436" t="s">
        <v>661</v>
      </c>
      <c r="C436" s="2">
        <v>46375</v>
      </c>
      <c r="D436" t="s">
        <v>244</v>
      </c>
      <c r="E436">
        <v>585</v>
      </c>
      <c r="F436">
        <v>5</v>
      </c>
      <c r="G436" t="s">
        <v>647</v>
      </c>
    </row>
    <row r="437" spans="1:7" x14ac:dyDescent="0.3">
      <c r="A437" s="1" t="s">
        <v>1113</v>
      </c>
      <c r="B437" t="s">
        <v>773</v>
      </c>
      <c r="C437" s="2">
        <v>46219</v>
      </c>
      <c r="D437" t="s">
        <v>655</v>
      </c>
      <c r="E437">
        <v>572</v>
      </c>
      <c r="F437">
        <v>34</v>
      </c>
      <c r="G437" t="s">
        <v>647</v>
      </c>
    </row>
    <row r="438" spans="1:7" x14ac:dyDescent="0.3">
      <c r="A438" s="1" t="s">
        <v>1114</v>
      </c>
      <c r="B438" t="s">
        <v>729</v>
      </c>
      <c r="C438" s="2">
        <v>46364</v>
      </c>
      <c r="D438" t="s">
        <v>244</v>
      </c>
      <c r="E438">
        <v>672</v>
      </c>
      <c r="F438">
        <v>51</v>
      </c>
      <c r="G438" t="s">
        <v>647</v>
      </c>
    </row>
    <row r="439" spans="1:7" x14ac:dyDescent="0.3">
      <c r="A439" s="1" t="s">
        <v>1115</v>
      </c>
      <c r="B439" t="s">
        <v>670</v>
      </c>
      <c r="C439" s="2">
        <v>46290</v>
      </c>
      <c r="D439" t="s">
        <v>244</v>
      </c>
      <c r="E439">
        <v>721</v>
      </c>
      <c r="F439">
        <v>47</v>
      </c>
      <c r="G439" t="s">
        <v>647</v>
      </c>
    </row>
    <row r="440" spans="1:7" x14ac:dyDescent="0.3">
      <c r="A440" s="1" t="s">
        <v>1116</v>
      </c>
      <c r="B440" t="s">
        <v>714</v>
      </c>
      <c r="C440" s="2">
        <v>46315</v>
      </c>
      <c r="D440" t="s">
        <v>278</v>
      </c>
      <c r="E440">
        <v>746</v>
      </c>
      <c r="F440">
        <v>56</v>
      </c>
      <c r="G440" t="s">
        <v>677</v>
      </c>
    </row>
    <row r="441" spans="1:7" x14ac:dyDescent="0.3">
      <c r="A441" s="1" t="s">
        <v>1117</v>
      </c>
      <c r="B441" t="s">
        <v>710</v>
      </c>
      <c r="C441" s="2">
        <v>46138</v>
      </c>
      <c r="D441" t="s">
        <v>278</v>
      </c>
      <c r="E441">
        <v>945</v>
      </c>
      <c r="F441">
        <v>49</v>
      </c>
      <c r="G441" t="s">
        <v>647</v>
      </c>
    </row>
    <row r="442" spans="1:7" x14ac:dyDescent="0.3">
      <c r="A442" s="1" t="s">
        <v>1118</v>
      </c>
      <c r="B442" t="s">
        <v>710</v>
      </c>
      <c r="C442" s="2">
        <v>46167</v>
      </c>
      <c r="D442" t="s">
        <v>252</v>
      </c>
      <c r="E442">
        <v>1062</v>
      </c>
      <c r="F442">
        <v>46</v>
      </c>
      <c r="G442" t="s">
        <v>647</v>
      </c>
    </row>
    <row r="443" spans="1:7" x14ac:dyDescent="0.3">
      <c r="A443" s="1" t="s">
        <v>1119</v>
      </c>
      <c r="B443" t="s">
        <v>808</v>
      </c>
      <c r="C443" s="2">
        <v>46212</v>
      </c>
      <c r="D443" t="s">
        <v>244</v>
      </c>
      <c r="E443">
        <v>706</v>
      </c>
      <c r="F443">
        <v>41</v>
      </c>
      <c r="G443" t="s">
        <v>647</v>
      </c>
    </row>
    <row r="444" spans="1:7" x14ac:dyDescent="0.3">
      <c r="A444" s="1" t="s">
        <v>1120</v>
      </c>
      <c r="B444" t="s">
        <v>670</v>
      </c>
      <c r="C444" s="2">
        <v>46324</v>
      </c>
      <c r="D444" t="s">
        <v>257</v>
      </c>
      <c r="E444">
        <v>507</v>
      </c>
      <c r="F444">
        <v>31</v>
      </c>
      <c r="G444" t="s">
        <v>647</v>
      </c>
    </row>
    <row r="445" spans="1:7" x14ac:dyDescent="0.3">
      <c r="A445" s="1" t="s">
        <v>1121</v>
      </c>
      <c r="B445" t="s">
        <v>653</v>
      </c>
      <c r="C445" s="2">
        <v>46318</v>
      </c>
      <c r="D445" t="s">
        <v>244</v>
      </c>
      <c r="E445">
        <v>554</v>
      </c>
      <c r="F445">
        <v>6</v>
      </c>
      <c r="G445" t="s">
        <v>647</v>
      </c>
    </row>
    <row r="446" spans="1:7" x14ac:dyDescent="0.3">
      <c r="A446" s="1" t="s">
        <v>1122</v>
      </c>
      <c r="B446" t="s">
        <v>714</v>
      </c>
      <c r="C446" s="2">
        <v>46062</v>
      </c>
      <c r="D446" t="s">
        <v>244</v>
      </c>
      <c r="E446">
        <v>397</v>
      </c>
      <c r="F446">
        <v>27</v>
      </c>
      <c r="G446" t="s">
        <v>647</v>
      </c>
    </row>
    <row r="447" spans="1:7" x14ac:dyDescent="0.3">
      <c r="A447" s="1" t="s">
        <v>1123</v>
      </c>
      <c r="B447" t="s">
        <v>729</v>
      </c>
      <c r="C447" s="2">
        <v>46057</v>
      </c>
      <c r="D447" t="s">
        <v>655</v>
      </c>
      <c r="E447">
        <v>505</v>
      </c>
      <c r="F447">
        <v>51</v>
      </c>
      <c r="G447" t="s">
        <v>647</v>
      </c>
    </row>
    <row r="448" spans="1:7" x14ac:dyDescent="0.3">
      <c r="A448" s="1" t="s">
        <v>1124</v>
      </c>
      <c r="B448" t="s">
        <v>659</v>
      </c>
      <c r="C448" s="2">
        <v>46154</v>
      </c>
      <c r="D448" t="s">
        <v>257</v>
      </c>
      <c r="E448">
        <v>896</v>
      </c>
      <c r="F448">
        <v>44</v>
      </c>
      <c r="G448" t="s">
        <v>647</v>
      </c>
    </row>
    <row r="449" spans="1:7" x14ac:dyDescent="0.3">
      <c r="A449" s="1" t="s">
        <v>1125</v>
      </c>
      <c r="B449" t="s">
        <v>697</v>
      </c>
      <c r="C449" s="2">
        <v>46321</v>
      </c>
      <c r="D449" t="s">
        <v>252</v>
      </c>
      <c r="E449">
        <v>1156</v>
      </c>
      <c r="F449">
        <v>52</v>
      </c>
      <c r="G449" t="s">
        <v>647</v>
      </c>
    </row>
    <row r="450" spans="1:7" x14ac:dyDescent="0.3">
      <c r="A450" s="1" t="s">
        <v>1126</v>
      </c>
      <c r="B450" t="s">
        <v>651</v>
      </c>
      <c r="C450" s="2">
        <v>46116</v>
      </c>
      <c r="D450" t="s">
        <v>655</v>
      </c>
      <c r="E450">
        <v>994</v>
      </c>
      <c r="F450">
        <v>52</v>
      </c>
      <c r="G450" t="s">
        <v>647</v>
      </c>
    </row>
    <row r="451" spans="1:7" x14ac:dyDescent="0.3">
      <c r="A451" s="1" t="s">
        <v>1127</v>
      </c>
      <c r="B451" t="s">
        <v>773</v>
      </c>
      <c r="C451" s="2">
        <v>46322</v>
      </c>
      <c r="D451" t="s">
        <v>278</v>
      </c>
      <c r="E451">
        <v>315</v>
      </c>
      <c r="F451">
        <v>27</v>
      </c>
      <c r="G451" t="s">
        <v>647</v>
      </c>
    </row>
    <row r="452" spans="1:7" x14ac:dyDescent="0.3">
      <c r="A452" s="1" t="s">
        <v>1128</v>
      </c>
      <c r="B452" t="s">
        <v>703</v>
      </c>
      <c r="C452" s="2">
        <v>46357</v>
      </c>
      <c r="D452" t="s">
        <v>655</v>
      </c>
      <c r="E452">
        <v>503</v>
      </c>
      <c r="F452">
        <v>57</v>
      </c>
      <c r="G452" t="s">
        <v>647</v>
      </c>
    </row>
    <row r="453" spans="1:7" x14ac:dyDescent="0.3">
      <c r="A453" s="1" t="s">
        <v>1129</v>
      </c>
      <c r="B453" t="s">
        <v>714</v>
      </c>
      <c r="C453" s="2">
        <v>46352</v>
      </c>
      <c r="D453" t="s">
        <v>244</v>
      </c>
      <c r="E453">
        <v>312</v>
      </c>
      <c r="F453">
        <v>59</v>
      </c>
      <c r="G453" t="s">
        <v>677</v>
      </c>
    </row>
    <row r="454" spans="1:7" x14ac:dyDescent="0.3">
      <c r="A454" s="1" t="s">
        <v>1130</v>
      </c>
      <c r="B454" t="s">
        <v>668</v>
      </c>
      <c r="C454" s="2">
        <v>46160</v>
      </c>
      <c r="D454" t="s">
        <v>278</v>
      </c>
      <c r="E454">
        <v>248</v>
      </c>
      <c r="F454">
        <v>54</v>
      </c>
      <c r="G454" t="s">
        <v>647</v>
      </c>
    </row>
    <row r="455" spans="1:7" x14ac:dyDescent="0.3">
      <c r="A455" s="1" t="s">
        <v>1131</v>
      </c>
      <c r="B455" t="s">
        <v>666</v>
      </c>
      <c r="C455" s="2">
        <v>46103</v>
      </c>
      <c r="D455" t="s">
        <v>257</v>
      </c>
      <c r="E455">
        <v>304</v>
      </c>
      <c r="F455">
        <v>49</v>
      </c>
      <c r="G455" t="s">
        <v>647</v>
      </c>
    </row>
    <row r="456" spans="1:7" x14ac:dyDescent="0.3">
      <c r="A456" s="1" t="s">
        <v>1132</v>
      </c>
      <c r="B456" t="s">
        <v>705</v>
      </c>
      <c r="C456" s="2">
        <v>46120</v>
      </c>
      <c r="D456" t="s">
        <v>278</v>
      </c>
      <c r="E456">
        <v>824</v>
      </c>
      <c r="F456">
        <v>40</v>
      </c>
      <c r="G456" t="s">
        <v>647</v>
      </c>
    </row>
    <row r="457" spans="1:7" x14ac:dyDescent="0.3">
      <c r="A457" s="1" t="s">
        <v>1133</v>
      </c>
      <c r="B457" t="s">
        <v>663</v>
      </c>
      <c r="C457" s="2">
        <v>46245</v>
      </c>
      <c r="D457" t="s">
        <v>655</v>
      </c>
      <c r="E457">
        <v>740</v>
      </c>
      <c r="F457">
        <v>56</v>
      </c>
      <c r="G457" t="s">
        <v>647</v>
      </c>
    </row>
    <row r="458" spans="1:7" x14ac:dyDescent="0.3">
      <c r="A458" s="1" t="s">
        <v>1134</v>
      </c>
      <c r="B458" t="s">
        <v>686</v>
      </c>
      <c r="C458" s="2">
        <v>46048</v>
      </c>
      <c r="D458" t="s">
        <v>278</v>
      </c>
      <c r="E458">
        <v>531</v>
      </c>
      <c r="F458">
        <v>48</v>
      </c>
      <c r="G458" t="s">
        <v>647</v>
      </c>
    </row>
    <row r="459" spans="1:7" x14ac:dyDescent="0.3">
      <c r="A459" s="1" t="s">
        <v>1135</v>
      </c>
      <c r="B459" t="s">
        <v>668</v>
      </c>
      <c r="C459" s="2">
        <v>46231</v>
      </c>
      <c r="D459" t="s">
        <v>244</v>
      </c>
      <c r="E459">
        <v>1137</v>
      </c>
      <c r="F459">
        <v>21</v>
      </c>
      <c r="G459" t="s">
        <v>647</v>
      </c>
    </row>
    <row r="460" spans="1:7" x14ac:dyDescent="0.3">
      <c r="A460" s="1" t="s">
        <v>1136</v>
      </c>
      <c r="B460" t="s">
        <v>649</v>
      </c>
      <c r="C460" s="2">
        <v>46370</v>
      </c>
      <c r="D460" t="s">
        <v>655</v>
      </c>
      <c r="E460">
        <v>1140</v>
      </c>
      <c r="F460">
        <v>11</v>
      </c>
      <c r="G460" t="s">
        <v>647</v>
      </c>
    </row>
    <row r="461" spans="1:7" x14ac:dyDescent="0.3">
      <c r="A461" s="1" t="s">
        <v>1137</v>
      </c>
      <c r="B461" t="s">
        <v>786</v>
      </c>
      <c r="C461" s="2">
        <v>46272</v>
      </c>
      <c r="D461" t="s">
        <v>278</v>
      </c>
      <c r="E461">
        <v>257</v>
      </c>
      <c r="F461">
        <v>35</v>
      </c>
      <c r="G461" t="s">
        <v>647</v>
      </c>
    </row>
    <row r="462" spans="1:7" x14ac:dyDescent="0.3">
      <c r="A462" s="1" t="s">
        <v>1138</v>
      </c>
      <c r="B462" t="s">
        <v>808</v>
      </c>
      <c r="C462" s="2">
        <v>46241</v>
      </c>
      <c r="D462" t="s">
        <v>252</v>
      </c>
      <c r="E462">
        <v>315</v>
      </c>
      <c r="F462">
        <v>19</v>
      </c>
      <c r="G462" t="s">
        <v>647</v>
      </c>
    </row>
    <row r="463" spans="1:7" x14ac:dyDescent="0.3">
      <c r="A463" s="1" t="s">
        <v>1139</v>
      </c>
      <c r="B463" t="s">
        <v>659</v>
      </c>
      <c r="C463" s="2">
        <v>46269</v>
      </c>
      <c r="D463" t="s">
        <v>252</v>
      </c>
      <c r="E463">
        <v>847</v>
      </c>
      <c r="F463">
        <v>60</v>
      </c>
      <c r="G463" t="s">
        <v>647</v>
      </c>
    </row>
    <row r="464" spans="1:7" x14ac:dyDescent="0.3">
      <c r="A464" s="1" t="s">
        <v>1140</v>
      </c>
      <c r="B464" t="s">
        <v>689</v>
      </c>
      <c r="C464" s="2">
        <v>46274</v>
      </c>
      <c r="D464" t="s">
        <v>655</v>
      </c>
      <c r="E464">
        <v>418</v>
      </c>
      <c r="F464">
        <v>15</v>
      </c>
      <c r="G464" t="s">
        <v>647</v>
      </c>
    </row>
    <row r="465" spans="1:7" x14ac:dyDescent="0.3">
      <c r="A465" s="1" t="s">
        <v>1141</v>
      </c>
      <c r="B465" t="s">
        <v>682</v>
      </c>
      <c r="C465" s="2">
        <v>46028</v>
      </c>
      <c r="D465" t="s">
        <v>257</v>
      </c>
      <c r="E465">
        <v>233</v>
      </c>
      <c r="F465">
        <v>49</v>
      </c>
      <c r="G465" t="s">
        <v>647</v>
      </c>
    </row>
    <row r="466" spans="1:7" x14ac:dyDescent="0.3">
      <c r="A466" s="1" t="s">
        <v>1142</v>
      </c>
      <c r="B466" t="s">
        <v>714</v>
      </c>
      <c r="C466" s="2">
        <v>46217</v>
      </c>
      <c r="D466" t="s">
        <v>278</v>
      </c>
      <c r="E466">
        <v>299</v>
      </c>
      <c r="F466">
        <v>43</v>
      </c>
      <c r="G466" t="s">
        <v>677</v>
      </c>
    </row>
    <row r="467" spans="1:7" x14ac:dyDescent="0.3">
      <c r="A467" s="1" t="s">
        <v>1143</v>
      </c>
      <c r="B467" t="s">
        <v>663</v>
      </c>
      <c r="C467" s="2">
        <v>46312</v>
      </c>
      <c r="D467" t="s">
        <v>252</v>
      </c>
      <c r="E467">
        <v>1133</v>
      </c>
      <c r="F467">
        <v>49</v>
      </c>
      <c r="G467" t="s">
        <v>647</v>
      </c>
    </row>
    <row r="468" spans="1:7" x14ac:dyDescent="0.3">
      <c r="A468" s="1" t="s">
        <v>1144</v>
      </c>
      <c r="B468" t="s">
        <v>729</v>
      </c>
      <c r="C468" s="2">
        <v>46190</v>
      </c>
      <c r="D468" t="s">
        <v>257</v>
      </c>
      <c r="E468">
        <v>957</v>
      </c>
      <c r="F468">
        <v>57</v>
      </c>
      <c r="G468" t="s">
        <v>647</v>
      </c>
    </row>
    <row r="469" spans="1:7" x14ac:dyDescent="0.3">
      <c r="A469" s="1" t="s">
        <v>1145</v>
      </c>
      <c r="B469" t="s">
        <v>707</v>
      </c>
      <c r="C469" s="2">
        <v>46062</v>
      </c>
      <c r="D469" t="s">
        <v>655</v>
      </c>
      <c r="E469">
        <v>224</v>
      </c>
      <c r="F469">
        <v>57</v>
      </c>
      <c r="G469" t="s">
        <v>647</v>
      </c>
    </row>
    <row r="470" spans="1:7" x14ac:dyDescent="0.3">
      <c r="A470" s="1" t="s">
        <v>1146</v>
      </c>
      <c r="B470" t="s">
        <v>680</v>
      </c>
      <c r="C470" s="2">
        <v>46143</v>
      </c>
      <c r="D470" t="s">
        <v>655</v>
      </c>
      <c r="E470">
        <v>267</v>
      </c>
      <c r="F470">
        <v>27</v>
      </c>
      <c r="G470" t="s">
        <v>647</v>
      </c>
    </row>
    <row r="471" spans="1:7" x14ac:dyDescent="0.3">
      <c r="A471" s="1" t="s">
        <v>1147</v>
      </c>
      <c r="B471" t="s">
        <v>689</v>
      </c>
      <c r="C471" s="2">
        <v>46352</v>
      </c>
      <c r="D471" t="s">
        <v>278</v>
      </c>
      <c r="E471">
        <v>497</v>
      </c>
      <c r="F471">
        <v>11</v>
      </c>
      <c r="G471" t="s">
        <v>647</v>
      </c>
    </row>
    <row r="472" spans="1:7" x14ac:dyDescent="0.3">
      <c r="A472" s="1" t="s">
        <v>1148</v>
      </c>
      <c r="B472" t="s">
        <v>773</v>
      </c>
      <c r="C472" s="2">
        <v>46218</v>
      </c>
      <c r="D472" t="s">
        <v>655</v>
      </c>
      <c r="E472">
        <v>424</v>
      </c>
      <c r="F472">
        <v>18</v>
      </c>
      <c r="G472" t="s">
        <v>647</v>
      </c>
    </row>
    <row r="473" spans="1:7" x14ac:dyDescent="0.3">
      <c r="A473" s="1" t="s">
        <v>1149</v>
      </c>
      <c r="B473" t="s">
        <v>691</v>
      </c>
      <c r="C473" s="2">
        <v>46193</v>
      </c>
      <c r="D473" t="s">
        <v>278</v>
      </c>
      <c r="E473">
        <v>1068</v>
      </c>
      <c r="F473">
        <v>20</v>
      </c>
      <c r="G473" t="s">
        <v>647</v>
      </c>
    </row>
    <row r="474" spans="1:7" x14ac:dyDescent="0.3">
      <c r="A474" s="1" t="s">
        <v>1150</v>
      </c>
      <c r="B474" t="s">
        <v>689</v>
      </c>
      <c r="C474" s="2">
        <v>46329</v>
      </c>
      <c r="D474" t="s">
        <v>244</v>
      </c>
      <c r="E474">
        <v>267</v>
      </c>
      <c r="F474">
        <v>11</v>
      </c>
      <c r="G474" t="s">
        <v>647</v>
      </c>
    </row>
    <row r="475" spans="1:7" x14ac:dyDescent="0.3">
      <c r="A475" s="1" t="s">
        <v>1151</v>
      </c>
      <c r="B475" t="s">
        <v>673</v>
      </c>
      <c r="C475" s="2">
        <v>46104</v>
      </c>
      <c r="D475" t="s">
        <v>278</v>
      </c>
      <c r="E475">
        <v>1178</v>
      </c>
      <c r="F475">
        <v>20</v>
      </c>
      <c r="G475" t="s">
        <v>647</v>
      </c>
    </row>
    <row r="476" spans="1:7" x14ac:dyDescent="0.3">
      <c r="A476" s="1" t="s">
        <v>1152</v>
      </c>
      <c r="B476" t="s">
        <v>705</v>
      </c>
      <c r="C476" s="2">
        <v>46358</v>
      </c>
      <c r="D476" t="s">
        <v>655</v>
      </c>
      <c r="E476">
        <v>490</v>
      </c>
      <c r="F476">
        <v>35</v>
      </c>
      <c r="G476" t="s">
        <v>677</v>
      </c>
    </row>
    <row r="477" spans="1:7" x14ac:dyDescent="0.3">
      <c r="A477" s="1" t="s">
        <v>1153</v>
      </c>
      <c r="B477" t="s">
        <v>697</v>
      </c>
      <c r="C477" s="2">
        <v>46242</v>
      </c>
      <c r="D477" t="s">
        <v>252</v>
      </c>
      <c r="E477">
        <v>657</v>
      </c>
      <c r="F477">
        <v>19</v>
      </c>
      <c r="G477" t="s">
        <v>677</v>
      </c>
    </row>
    <row r="478" spans="1:7" x14ac:dyDescent="0.3">
      <c r="A478" s="1" t="s">
        <v>1154</v>
      </c>
      <c r="B478" t="s">
        <v>666</v>
      </c>
      <c r="C478" s="2">
        <v>46086</v>
      </c>
      <c r="D478" t="s">
        <v>278</v>
      </c>
      <c r="E478">
        <v>467</v>
      </c>
      <c r="F478">
        <v>12</v>
      </c>
      <c r="G478" t="s">
        <v>647</v>
      </c>
    </row>
    <row r="479" spans="1:7" x14ac:dyDescent="0.3">
      <c r="A479" s="1" t="s">
        <v>1155</v>
      </c>
      <c r="B479" t="s">
        <v>661</v>
      </c>
      <c r="C479" s="2">
        <v>46325</v>
      </c>
      <c r="D479" t="s">
        <v>252</v>
      </c>
      <c r="E479">
        <v>761</v>
      </c>
      <c r="F479">
        <v>49</v>
      </c>
      <c r="G479" t="s">
        <v>647</v>
      </c>
    </row>
    <row r="480" spans="1:7" x14ac:dyDescent="0.3">
      <c r="A480" s="1" t="s">
        <v>1156</v>
      </c>
      <c r="B480" t="s">
        <v>689</v>
      </c>
      <c r="C480" s="2">
        <v>46133</v>
      </c>
      <c r="D480" t="s">
        <v>252</v>
      </c>
      <c r="E480">
        <v>1179</v>
      </c>
      <c r="F480">
        <v>42</v>
      </c>
      <c r="G480" t="s">
        <v>647</v>
      </c>
    </row>
    <row r="481" spans="1:7" x14ac:dyDescent="0.3">
      <c r="A481" s="1" t="s">
        <v>1157</v>
      </c>
      <c r="B481" t="s">
        <v>673</v>
      </c>
      <c r="C481" s="2">
        <v>46152</v>
      </c>
      <c r="D481" t="s">
        <v>244</v>
      </c>
      <c r="E481">
        <v>733</v>
      </c>
      <c r="F481">
        <v>39</v>
      </c>
      <c r="G481" t="s">
        <v>647</v>
      </c>
    </row>
    <row r="482" spans="1:7" x14ac:dyDescent="0.3">
      <c r="A482" s="1" t="s">
        <v>1158</v>
      </c>
      <c r="B482" t="s">
        <v>710</v>
      </c>
      <c r="C482" s="2">
        <v>46186</v>
      </c>
      <c r="D482" t="s">
        <v>257</v>
      </c>
      <c r="E482">
        <v>351</v>
      </c>
      <c r="F482">
        <v>58</v>
      </c>
      <c r="G482" t="s">
        <v>647</v>
      </c>
    </row>
    <row r="483" spans="1:7" x14ac:dyDescent="0.3">
      <c r="A483" s="1" t="s">
        <v>1159</v>
      </c>
      <c r="B483" t="s">
        <v>697</v>
      </c>
      <c r="C483" s="2">
        <v>46277</v>
      </c>
      <c r="D483" t="s">
        <v>278</v>
      </c>
      <c r="E483">
        <v>949</v>
      </c>
      <c r="F483">
        <v>6</v>
      </c>
      <c r="G483" t="s">
        <v>647</v>
      </c>
    </row>
    <row r="484" spans="1:7" x14ac:dyDescent="0.3">
      <c r="A484" s="1" t="s">
        <v>1160</v>
      </c>
      <c r="B484" t="s">
        <v>659</v>
      </c>
      <c r="C484" s="2">
        <v>46250</v>
      </c>
      <c r="D484" t="s">
        <v>278</v>
      </c>
      <c r="E484">
        <v>810</v>
      </c>
      <c r="F484">
        <v>29</v>
      </c>
      <c r="G484" t="s">
        <v>647</v>
      </c>
    </row>
    <row r="485" spans="1:7" x14ac:dyDescent="0.3">
      <c r="A485" s="1" t="s">
        <v>1161</v>
      </c>
      <c r="B485" t="s">
        <v>717</v>
      </c>
      <c r="C485" s="2">
        <v>46083</v>
      </c>
      <c r="D485" t="s">
        <v>252</v>
      </c>
      <c r="E485">
        <v>656</v>
      </c>
      <c r="F485">
        <v>47</v>
      </c>
      <c r="G485" t="s">
        <v>647</v>
      </c>
    </row>
    <row r="486" spans="1:7" x14ac:dyDescent="0.3">
      <c r="A486" s="1" t="s">
        <v>1162</v>
      </c>
      <c r="B486" t="s">
        <v>663</v>
      </c>
      <c r="C486" s="2">
        <v>46226</v>
      </c>
      <c r="D486" t="s">
        <v>252</v>
      </c>
      <c r="E486">
        <v>254</v>
      </c>
      <c r="F486">
        <v>11</v>
      </c>
      <c r="G486" t="s">
        <v>647</v>
      </c>
    </row>
    <row r="487" spans="1:7" x14ac:dyDescent="0.3">
      <c r="A487" s="1" t="s">
        <v>1163</v>
      </c>
      <c r="B487" t="s">
        <v>659</v>
      </c>
      <c r="C487" s="2">
        <v>46196</v>
      </c>
      <c r="D487" t="s">
        <v>278</v>
      </c>
      <c r="E487">
        <v>807</v>
      </c>
      <c r="F487">
        <v>49</v>
      </c>
      <c r="G487" t="s">
        <v>647</v>
      </c>
    </row>
    <row r="488" spans="1:7" x14ac:dyDescent="0.3">
      <c r="A488" s="1" t="s">
        <v>1164</v>
      </c>
      <c r="B488" t="s">
        <v>657</v>
      </c>
      <c r="C488" s="2">
        <v>46112</v>
      </c>
      <c r="D488" t="s">
        <v>655</v>
      </c>
      <c r="E488">
        <v>800</v>
      </c>
      <c r="F488">
        <v>10</v>
      </c>
      <c r="G488" t="s">
        <v>677</v>
      </c>
    </row>
    <row r="489" spans="1:7" x14ac:dyDescent="0.3">
      <c r="A489" s="1" t="s">
        <v>1165</v>
      </c>
      <c r="B489" t="s">
        <v>686</v>
      </c>
      <c r="C489" s="2">
        <v>46084</v>
      </c>
      <c r="D489" t="s">
        <v>278</v>
      </c>
      <c r="E489">
        <v>270</v>
      </c>
      <c r="F489">
        <v>15</v>
      </c>
      <c r="G489" t="s">
        <v>647</v>
      </c>
    </row>
    <row r="490" spans="1:7" x14ac:dyDescent="0.3">
      <c r="A490" s="1" t="s">
        <v>1166</v>
      </c>
      <c r="B490" t="s">
        <v>668</v>
      </c>
      <c r="C490" s="2">
        <v>46291</v>
      </c>
      <c r="D490" t="s">
        <v>252</v>
      </c>
      <c r="E490">
        <v>688</v>
      </c>
      <c r="F490">
        <v>46</v>
      </c>
      <c r="G490" t="s">
        <v>647</v>
      </c>
    </row>
    <row r="491" spans="1:7" x14ac:dyDescent="0.3">
      <c r="A491" s="1" t="s">
        <v>1167</v>
      </c>
      <c r="B491" t="s">
        <v>703</v>
      </c>
      <c r="C491" s="2">
        <v>46024</v>
      </c>
      <c r="D491" t="s">
        <v>252</v>
      </c>
      <c r="E491">
        <v>806</v>
      </c>
      <c r="F491">
        <v>13</v>
      </c>
      <c r="G491" t="s">
        <v>677</v>
      </c>
    </row>
    <row r="492" spans="1:7" x14ac:dyDescent="0.3">
      <c r="A492" s="1" t="s">
        <v>1168</v>
      </c>
      <c r="B492" t="s">
        <v>649</v>
      </c>
      <c r="C492" s="2">
        <v>46162</v>
      </c>
      <c r="D492" t="s">
        <v>655</v>
      </c>
      <c r="E492">
        <v>309</v>
      </c>
      <c r="F492">
        <v>19</v>
      </c>
      <c r="G492" t="s">
        <v>647</v>
      </c>
    </row>
    <row r="493" spans="1:7" x14ac:dyDescent="0.3">
      <c r="A493" s="1" t="s">
        <v>1169</v>
      </c>
      <c r="B493" t="s">
        <v>691</v>
      </c>
      <c r="C493" s="2">
        <v>46216</v>
      </c>
      <c r="D493" t="s">
        <v>655</v>
      </c>
      <c r="E493">
        <v>602</v>
      </c>
      <c r="F493">
        <v>15</v>
      </c>
      <c r="G493" t="s">
        <v>677</v>
      </c>
    </row>
    <row r="494" spans="1:7" x14ac:dyDescent="0.3">
      <c r="A494" s="1" t="s">
        <v>1170</v>
      </c>
      <c r="B494" t="s">
        <v>707</v>
      </c>
      <c r="C494" s="2">
        <v>46175</v>
      </c>
      <c r="D494" t="s">
        <v>252</v>
      </c>
      <c r="E494">
        <v>516</v>
      </c>
      <c r="F494">
        <v>31</v>
      </c>
      <c r="G494" t="s">
        <v>647</v>
      </c>
    </row>
    <row r="495" spans="1:7" x14ac:dyDescent="0.3">
      <c r="A495" s="1" t="s">
        <v>1171</v>
      </c>
      <c r="B495" t="s">
        <v>680</v>
      </c>
      <c r="C495" s="2">
        <v>46384</v>
      </c>
      <c r="D495" t="s">
        <v>252</v>
      </c>
      <c r="E495">
        <v>867</v>
      </c>
      <c r="F495">
        <v>6</v>
      </c>
      <c r="G495" t="s">
        <v>647</v>
      </c>
    </row>
    <row r="496" spans="1:7" x14ac:dyDescent="0.3">
      <c r="A496" s="1" t="s">
        <v>1172</v>
      </c>
      <c r="B496" t="s">
        <v>670</v>
      </c>
      <c r="C496" s="2">
        <v>46028</v>
      </c>
      <c r="D496" t="s">
        <v>257</v>
      </c>
      <c r="E496">
        <v>481</v>
      </c>
      <c r="F496">
        <v>43</v>
      </c>
      <c r="G496" t="s">
        <v>647</v>
      </c>
    </row>
    <row r="497" spans="1:7" x14ac:dyDescent="0.3">
      <c r="A497" s="1" t="s">
        <v>1173</v>
      </c>
      <c r="B497" t="s">
        <v>705</v>
      </c>
      <c r="C497" s="2">
        <v>46219</v>
      </c>
      <c r="D497" t="s">
        <v>278</v>
      </c>
      <c r="E497">
        <v>382</v>
      </c>
      <c r="F497">
        <v>39</v>
      </c>
      <c r="G497" t="s">
        <v>677</v>
      </c>
    </row>
    <row r="498" spans="1:7" x14ac:dyDescent="0.3">
      <c r="A498" s="1" t="s">
        <v>1174</v>
      </c>
      <c r="B498" t="s">
        <v>703</v>
      </c>
      <c r="C498" s="2">
        <v>46317</v>
      </c>
      <c r="D498" t="s">
        <v>655</v>
      </c>
      <c r="E498">
        <v>206</v>
      </c>
      <c r="F498">
        <v>40</v>
      </c>
      <c r="G498" t="s">
        <v>647</v>
      </c>
    </row>
    <row r="499" spans="1:7" x14ac:dyDescent="0.3">
      <c r="A499" s="1" t="s">
        <v>1175</v>
      </c>
      <c r="B499" t="s">
        <v>673</v>
      </c>
      <c r="C499" s="2">
        <v>46075</v>
      </c>
      <c r="D499" t="s">
        <v>655</v>
      </c>
      <c r="E499">
        <v>322</v>
      </c>
      <c r="F499">
        <v>19</v>
      </c>
      <c r="G499" t="s">
        <v>647</v>
      </c>
    </row>
    <row r="500" spans="1:7" x14ac:dyDescent="0.3">
      <c r="A500" s="1" t="s">
        <v>1176</v>
      </c>
      <c r="B500" t="s">
        <v>703</v>
      </c>
      <c r="C500" s="2">
        <v>46277</v>
      </c>
      <c r="D500" t="s">
        <v>252</v>
      </c>
      <c r="E500">
        <v>905</v>
      </c>
      <c r="F500">
        <v>43</v>
      </c>
      <c r="G500" t="s">
        <v>647</v>
      </c>
    </row>
    <row r="501" spans="1:7" x14ac:dyDescent="0.3">
      <c r="A501" s="1" t="s">
        <v>1177</v>
      </c>
      <c r="B501" t="s">
        <v>663</v>
      </c>
      <c r="C501" s="2">
        <v>46283</v>
      </c>
      <c r="D501" t="s">
        <v>257</v>
      </c>
      <c r="E501">
        <v>490</v>
      </c>
      <c r="F501">
        <v>37</v>
      </c>
      <c r="G501" t="s">
        <v>647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874ED-2AE3-4CF4-81B2-C6A19B991F42}">
  <dimension ref="A1:I201"/>
  <sheetViews>
    <sheetView topLeftCell="A2" workbookViewId="0">
      <selection activeCell="C8" sqref="C8"/>
    </sheetView>
  </sheetViews>
  <sheetFormatPr defaultColWidth="26.44140625" defaultRowHeight="14.4" x14ac:dyDescent="0.3"/>
  <sheetData>
    <row r="1" spans="1:9" x14ac:dyDescent="0.3">
      <c r="A1" t="s">
        <v>9</v>
      </c>
      <c r="B1" t="s">
        <v>10</v>
      </c>
      <c r="C1" t="s">
        <v>5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</row>
    <row r="2" spans="1:9" x14ac:dyDescent="0.3">
      <c r="A2" t="s">
        <v>239</v>
      </c>
      <c r="B2" s="2">
        <v>46373</v>
      </c>
      <c r="C2" t="s">
        <v>257</v>
      </c>
      <c r="D2" t="s">
        <v>37</v>
      </c>
      <c r="E2">
        <v>754</v>
      </c>
      <c r="F2">
        <v>5.83</v>
      </c>
      <c r="G2">
        <v>573</v>
      </c>
      <c r="H2" s="3">
        <v>0.75994694960212206</v>
      </c>
      <c r="I2" s="4">
        <v>98.284734133790735</v>
      </c>
    </row>
    <row r="3" spans="1:9" x14ac:dyDescent="0.3">
      <c r="A3" t="s">
        <v>243</v>
      </c>
      <c r="B3" s="2">
        <v>46349</v>
      </c>
      <c r="C3" t="s">
        <v>252</v>
      </c>
      <c r="D3" t="s">
        <v>34</v>
      </c>
      <c r="E3">
        <v>1438</v>
      </c>
      <c r="F3">
        <v>7.17</v>
      </c>
      <c r="G3">
        <v>1380</v>
      </c>
      <c r="H3" s="3">
        <v>0.95966620305980532</v>
      </c>
      <c r="I3" s="4">
        <v>192.46861924686192</v>
      </c>
    </row>
    <row r="4" spans="1:9" x14ac:dyDescent="0.3">
      <c r="A4" t="s">
        <v>247</v>
      </c>
      <c r="B4" s="2">
        <v>46164</v>
      </c>
      <c r="C4" t="s">
        <v>240</v>
      </c>
      <c r="D4" t="s">
        <v>34</v>
      </c>
      <c r="E4">
        <v>1450</v>
      </c>
      <c r="F4">
        <v>8.77</v>
      </c>
      <c r="G4">
        <v>1247</v>
      </c>
      <c r="H4" s="3">
        <v>0.86</v>
      </c>
      <c r="I4" s="4">
        <v>142.18928164196123</v>
      </c>
    </row>
    <row r="5" spans="1:9" x14ac:dyDescent="0.3">
      <c r="A5" t="s">
        <v>249</v>
      </c>
      <c r="B5" s="2">
        <v>46065</v>
      </c>
      <c r="C5" t="s">
        <v>252</v>
      </c>
      <c r="D5" t="s">
        <v>26</v>
      </c>
      <c r="E5">
        <v>1031</v>
      </c>
      <c r="F5">
        <v>4.72</v>
      </c>
      <c r="G5">
        <v>938</v>
      </c>
      <c r="H5" s="3">
        <v>0.90979631425800189</v>
      </c>
      <c r="I5" s="4">
        <v>198.72881355932205</v>
      </c>
    </row>
    <row r="6" spans="1:9" x14ac:dyDescent="0.3">
      <c r="A6" t="s">
        <v>251</v>
      </c>
      <c r="B6" s="2">
        <v>46153</v>
      </c>
      <c r="C6" t="s">
        <v>240</v>
      </c>
      <c r="D6" t="s">
        <v>32</v>
      </c>
      <c r="E6">
        <v>1099</v>
      </c>
      <c r="F6">
        <v>6.49</v>
      </c>
      <c r="G6">
        <v>967</v>
      </c>
      <c r="H6" s="3">
        <v>0.87989080982711554</v>
      </c>
      <c r="I6" s="4">
        <v>148.9984591679507</v>
      </c>
    </row>
    <row r="7" spans="1:9" x14ac:dyDescent="0.3">
      <c r="A7" t="s">
        <v>254</v>
      </c>
      <c r="B7" s="2">
        <v>46331</v>
      </c>
      <c r="C7" t="s">
        <v>252</v>
      </c>
      <c r="D7" t="s">
        <v>29</v>
      </c>
      <c r="E7">
        <v>837</v>
      </c>
      <c r="F7">
        <v>4.41</v>
      </c>
      <c r="G7">
        <v>812</v>
      </c>
      <c r="H7" s="3">
        <v>0.97013142174432498</v>
      </c>
      <c r="I7" s="4">
        <v>184.12698412698413</v>
      </c>
    </row>
    <row r="8" spans="1:9" x14ac:dyDescent="0.3">
      <c r="A8" t="s">
        <v>256</v>
      </c>
      <c r="B8" s="2">
        <v>46162</v>
      </c>
      <c r="C8" t="s">
        <v>252</v>
      </c>
      <c r="D8" t="s">
        <v>34</v>
      </c>
      <c r="E8">
        <v>934</v>
      </c>
      <c r="F8">
        <v>4.8099999999999996</v>
      </c>
      <c r="G8">
        <v>869</v>
      </c>
      <c r="H8" s="3">
        <v>0.93040685224839403</v>
      </c>
      <c r="I8" s="4">
        <v>180.66528066528068</v>
      </c>
    </row>
    <row r="9" spans="1:9" x14ac:dyDescent="0.3">
      <c r="A9" t="s">
        <v>259</v>
      </c>
      <c r="B9" s="2">
        <v>46107</v>
      </c>
      <c r="C9" t="s">
        <v>278</v>
      </c>
      <c r="D9" t="s">
        <v>34</v>
      </c>
      <c r="E9">
        <v>1430</v>
      </c>
      <c r="F9">
        <v>7.7</v>
      </c>
      <c r="G9">
        <v>1316</v>
      </c>
      <c r="H9" s="3">
        <v>0.92027972027972027</v>
      </c>
      <c r="I9" s="4">
        <v>170.90909090909091</v>
      </c>
    </row>
    <row r="10" spans="1:9" x14ac:dyDescent="0.3">
      <c r="A10" t="s">
        <v>261</v>
      </c>
      <c r="B10" s="2">
        <v>46151</v>
      </c>
      <c r="C10" t="s">
        <v>244</v>
      </c>
      <c r="D10" t="s">
        <v>29</v>
      </c>
      <c r="E10">
        <v>1306</v>
      </c>
      <c r="F10">
        <v>7.54</v>
      </c>
      <c r="G10">
        <v>1162</v>
      </c>
      <c r="H10" s="3">
        <v>0.88973966309341501</v>
      </c>
      <c r="I10" s="4">
        <v>154.11140583554376</v>
      </c>
    </row>
    <row r="11" spans="1:9" x14ac:dyDescent="0.3">
      <c r="A11" t="s">
        <v>263</v>
      </c>
      <c r="B11" s="2">
        <v>46130</v>
      </c>
      <c r="C11" t="s">
        <v>257</v>
      </c>
      <c r="D11" t="s">
        <v>29</v>
      </c>
      <c r="E11">
        <v>1296</v>
      </c>
      <c r="F11">
        <v>9.5</v>
      </c>
      <c r="G11">
        <v>1102</v>
      </c>
      <c r="H11" s="3">
        <v>0.85030864197530864</v>
      </c>
      <c r="I11" s="4">
        <v>116</v>
      </c>
    </row>
    <row r="12" spans="1:9" x14ac:dyDescent="0.3">
      <c r="A12" t="s">
        <v>265</v>
      </c>
      <c r="B12" s="2">
        <v>46158</v>
      </c>
      <c r="C12" t="s">
        <v>244</v>
      </c>
      <c r="D12" t="s">
        <v>34</v>
      </c>
      <c r="E12">
        <v>1312</v>
      </c>
      <c r="F12">
        <v>7.3</v>
      </c>
      <c r="G12">
        <v>1168</v>
      </c>
      <c r="H12" s="3">
        <v>0.8902439024390244</v>
      </c>
      <c r="I12" s="4">
        <v>160</v>
      </c>
    </row>
    <row r="13" spans="1:9" x14ac:dyDescent="0.3">
      <c r="A13" t="s">
        <v>267</v>
      </c>
      <c r="B13" s="2">
        <v>46383</v>
      </c>
      <c r="C13" t="s">
        <v>257</v>
      </c>
      <c r="D13" t="s">
        <v>37</v>
      </c>
      <c r="E13">
        <v>1072</v>
      </c>
      <c r="F13">
        <v>7.9</v>
      </c>
      <c r="G13">
        <v>847</v>
      </c>
      <c r="H13" s="3">
        <v>0.79011194029850751</v>
      </c>
      <c r="I13" s="4">
        <v>107.21518987341771</v>
      </c>
    </row>
    <row r="14" spans="1:9" x14ac:dyDescent="0.3">
      <c r="A14" t="s">
        <v>269</v>
      </c>
      <c r="B14" s="2">
        <v>46285</v>
      </c>
      <c r="C14" t="s">
        <v>244</v>
      </c>
      <c r="D14" t="s">
        <v>37</v>
      </c>
      <c r="E14">
        <v>808</v>
      </c>
      <c r="F14">
        <v>4.41</v>
      </c>
      <c r="G14">
        <v>760</v>
      </c>
      <c r="H14" s="3">
        <v>0.94059405940594054</v>
      </c>
      <c r="I14" s="4">
        <v>172.33560090702946</v>
      </c>
    </row>
    <row r="15" spans="1:9" x14ac:dyDescent="0.3">
      <c r="A15" t="s">
        <v>271</v>
      </c>
      <c r="B15" s="2">
        <v>46274</v>
      </c>
      <c r="C15" t="s">
        <v>257</v>
      </c>
      <c r="D15" t="s">
        <v>26</v>
      </c>
      <c r="E15">
        <v>802</v>
      </c>
      <c r="F15">
        <v>6.39</v>
      </c>
      <c r="G15">
        <v>674</v>
      </c>
      <c r="H15" s="3">
        <v>0.84039900249376553</v>
      </c>
      <c r="I15" s="4">
        <v>105.47730829420971</v>
      </c>
    </row>
    <row r="16" spans="1:9" x14ac:dyDescent="0.3">
      <c r="A16" t="s">
        <v>273</v>
      </c>
      <c r="B16" s="2">
        <v>46261</v>
      </c>
      <c r="C16" t="s">
        <v>252</v>
      </c>
      <c r="D16" t="s">
        <v>34</v>
      </c>
      <c r="E16">
        <v>609</v>
      </c>
      <c r="F16">
        <v>3.42</v>
      </c>
      <c r="G16">
        <v>566</v>
      </c>
      <c r="H16" s="3">
        <v>0.92939244663382592</v>
      </c>
      <c r="I16" s="4">
        <v>165.49707602339183</v>
      </c>
    </row>
    <row r="17" spans="1:9" x14ac:dyDescent="0.3">
      <c r="A17" t="s">
        <v>275</v>
      </c>
      <c r="B17" s="2">
        <v>46183</v>
      </c>
      <c r="C17" t="s">
        <v>244</v>
      </c>
      <c r="D17" t="s">
        <v>37</v>
      </c>
      <c r="E17">
        <v>1446</v>
      </c>
      <c r="F17">
        <v>7.84</v>
      </c>
      <c r="G17">
        <v>1345</v>
      </c>
      <c r="H17" s="3">
        <v>0.93015214384508993</v>
      </c>
      <c r="I17" s="4">
        <v>171.55612244897961</v>
      </c>
    </row>
    <row r="18" spans="1:9" x14ac:dyDescent="0.3">
      <c r="A18" t="s">
        <v>277</v>
      </c>
      <c r="B18" s="2">
        <v>46292</v>
      </c>
      <c r="C18" t="s">
        <v>240</v>
      </c>
      <c r="D18" t="s">
        <v>34</v>
      </c>
      <c r="E18">
        <v>1123</v>
      </c>
      <c r="F18">
        <v>7.37</v>
      </c>
      <c r="G18">
        <v>955</v>
      </c>
      <c r="H18" s="3">
        <v>0.8504007123775601</v>
      </c>
      <c r="I18" s="4">
        <v>129.57937584803256</v>
      </c>
    </row>
    <row r="19" spans="1:9" x14ac:dyDescent="0.3">
      <c r="A19" t="s">
        <v>280</v>
      </c>
      <c r="B19" s="2">
        <v>46179</v>
      </c>
      <c r="C19" t="s">
        <v>257</v>
      </c>
      <c r="D19" t="s">
        <v>26</v>
      </c>
      <c r="E19">
        <v>1330</v>
      </c>
      <c r="F19">
        <v>9.67</v>
      </c>
      <c r="G19">
        <v>1064</v>
      </c>
      <c r="H19" s="3">
        <v>0.8</v>
      </c>
      <c r="I19" s="4">
        <v>110.03102378490176</v>
      </c>
    </row>
    <row r="20" spans="1:9" x14ac:dyDescent="0.3">
      <c r="A20" t="s">
        <v>282</v>
      </c>
      <c r="B20" s="2">
        <v>46132</v>
      </c>
      <c r="C20" t="s">
        <v>257</v>
      </c>
      <c r="D20" t="s">
        <v>34</v>
      </c>
      <c r="E20">
        <v>1077</v>
      </c>
      <c r="F20">
        <v>8.1</v>
      </c>
      <c r="G20">
        <v>797</v>
      </c>
      <c r="H20" s="3">
        <v>0.74001857010213556</v>
      </c>
      <c r="I20" s="4">
        <v>98.395061728395063</v>
      </c>
    </row>
    <row r="21" spans="1:9" x14ac:dyDescent="0.3">
      <c r="A21" t="s">
        <v>284</v>
      </c>
      <c r="B21" s="2">
        <v>46220</v>
      </c>
      <c r="C21" t="s">
        <v>278</v>
      </c>
      <c r="D21" t="s">
        <v>32</v>
      </c>
      <c r="E21">
        <v>1271</v>
      </c>
      <c r="F21">
        <v>6.75</v>
      </c>
      <c r="G21">
        <v>1118</v>
      </c>
      <c r="H21" s="3">
        <v>0.87962234461054289</v>
      </c>
      <c r="I21" s="4">
        <v>165.62962962962962</v>
      </c>
    </row>
    <row r="22" spans="1:9" x14ac:dyDescent="0.3">
      <c r="A22" t="s">
        <v>286</v>
      </c>
      <c r="B22" s="2">
        <v>46158</v>
      </c>
      <c r="C22" t="s">
        <v>240</v>
      </c>
      <c r="D22" t="s">
        <v>34</v>
      </c>
      <c r="E22">
        <v>821</v>
      </c>
      <c r="F22">
        <v>5.33</v>
      </c>
      <c r="G22">
        <v>747</v>
      </c>
      <c r="H22" s="3">
        <v>0.90986601705237513</v>
      </c>
      <c r="I22" s="4">
        <v>140.1500938086304</v>
      </c>
    </row>
    <row r="23" spans="1:9" x14ac:dyDescent="0.3">
      <c r="A23" t="s">
        <v>288</v>
      </c>
      <c r="B23" s="2">
        <v>46374</v>
      </c>
      <c r="C23" t="s">
        <v>240</v>
      </c>
      <c r="D23" t="s">
        <v>26</v>
      </c>
      <c r="E23">
        <v>509</v>
      </c>
      <c r="F23">
        <v>3.5</v>
      </c>
      <c r="G23">
        <v>468</v>
      </c>
      <c r="H23" s="3">
        <v>0.91944990176817287</v>
      </c>
      <c r="I23" s="4">
        <v>133.71428571428572</v>
      </c>
    </row>
    <row r="24" spans="1:9" x14ac:dyDescent="0.3">
      <c r="A24" t="s">
        <v>290</v>
      </c>
      <c r="B24" s="2">
        <v>46040</v>
      </c>
      <c r="C24" t="s">
        <v>240</v>
      </c>
      <c r="D24" t="s">
        <v>26</v>
      </c>
      <c r="E24">
        <v>849</v>
      </c>
      <c r="F24">
        <v>5.48</v>
      </c>
      <c r="G24">
        <v>722</v>
      </c>
      <c r="H24" s="3">
        <v>0.85041224970553597</v>
      </c>
      <c r="I24" s="4">
        <v>131.75182481751824</v>
      </c>
    </row>
    <row r="25" spans="1:9" x14ac:dyDescent="0.3">
      <c r="A25" t="s">
        <v>292</v>
      </c>
      <c r="B25" s="2">
        <v>46047</v>
      </c>
      <c r="C25" t="s">
        <v>278</v>
      </c>
      <c r="D25" t="s">
        <v>37</v>
      </c>
      <c r="E25">
        <v>743</v>
      </c>
      <c r="F25">
        <v>3.9</v>
      </c>
      <c r="G25">
        <v>661</v>
      </c>
      <c r="H25" s="3">
        <v>0.88963660834454916</v>
      </c>
      <c r="I25" s="4">
        <v>169.4871794871795</v>
      </c>
    </row>
    <row r="26" spans="1:9" x14ac:dyDescent="0.3">
      <c r="A26" t="s">
        <v>294</v>
      </c>
      <c r="B26" s="2">
        <v>46027</v>
      </c>
      <c r="C26" t="s">
        <v>257</v>
      </c>
      <c r="D26" t="s">
        <v>34</v>
      </c>
      <c r="E26">
        <v>585</v>
      </c>
      <c r="F26">
        <v>4.9400000000000004</v>
      </c>
      <c r="G26">
        <v>486</v>
      </c>
      <c r="H26" s="3">
        <v>0.83076923076923082</v>
      </c>
      <c r="I26" s="4">
        <v>98.380566801619423</v>
      </c>
    </row>
    <row r="27" spans="1:9" x14ac:dyDescent="0.3">
      <c r="A27" t="s">
        <v>296</v>
      </c>
      <c r="B27" s="2">
        <v>46301</v>
      </c>
      <c r="C27" t="s">
        <v>257</v>
      </c>
      <c r="D27" t="s">
        <v>37</v>
      </c>
      <c r="E27">
        <v>882</v>
      </c>
      <c r="F27">
        <v>6.72</v>
      </c>
      <c r="G27">
        <v>679</v>
      </c>
      <c r="H27" s="3">
        <v>0.76984126984126988</v>
      </c>
      <c r="I27" s="4">
        <v>101.04166666666667</v>
      </c>
    </row>
    <row r="28" spans="1:9" x14ac:dyDescent="0.3">
      <c r="A28" t="s">
        <v>298</v>
      </c>
      <c r="B28" s="2">
        <v>46102</v>
      </c>
      <c r="C28" t="s">
        <v>244</v>
      </c>
      <c r="D28" t="s">
        <v>34</v>
      </c>
      <c r="E28">
        <v>902</v>
      </c>
      <c r="F28">
        <v>5.4</v>
      </c>
      <c r="G28">
        <v>803</v>
      </c>
      <c r="H28" s="3">
        <v>0.8902439024390244</v>
      </c>
      <c r="I28" s="4">
        <v>148.7037037037037</v>
      </c>
    </row>
    <row r="29" spans="1:9" x14ac:dyDescent="0.3">
      <c r="A29" t="s">
        <v>300</v>
      </c>
      <c r="B29" s="2">
        <v>46215</v>
      </c>
      <c r="C29" t="s">
        <v>240</v>
      </c>
      <c r="D29" t="s">
        <v>37</v>
      </c>
      <c r="E29">
        <v>779</v>
      </c>
      <c r="F29">
        <v>4.99</v>
      </c>
      <c r="G29">
        <v>701</v>
      </c>
      <c r="H29" s="3">
        <v>0.8998716302952503</v>
      </c>
      <c r="I29" s="4">
        <v>140.4809619238477</v>
      </c>
    </row>
    <row r="30" spans="1:9" x14ac:dyDescent="0.3">
      <c r="A30" t="s">
        <v>302</v>
      </c>
      <c r="B30" s="2">
        <v>46226</v>
      </c>
      <c r="C30" t="s">
        <v>252</v>
      </c>
      <c r="D30" t="s">
        <v>37</v>
      </c>
      <c r="E30">
        <v>1457</v>
      </c>
      <c r="F30">
        <v>6.69</v>
      </c>
      <c r="G30">
        <v>1340</v>
      </c>
      <c r="H30" s="3">
        <v>0.91969800960878523</v>
      </c>
      <c r="I30" s="4">
        <v>200.29895366218236</v>
      </c>
    </row>
    <row r="31" spans="1:9" x14ac:dyDescent="0.3">
      <c r="A31" t="s">
        <v>304</v>
      </c>
      <c r="B31" s="2">
        <v>46155</v>
      </c>
      <c r="C31" t="s">
        <v>244</v>
      </c>
      <c r="D31" t="s">
        <v>37</v>
      </c>
      <c r="E31">
        <v>689</v>
      </c>
      <c r="F31">
        <v>4.25</v>
      </c>
      <c r="G31">
        <v>641</v>
      </c>
      <c r="H31" s="3">
        <v>0.93033381712626995</v>
      </c>
      <c r="I31" s="4">
        <v>150.8235294117647</v>
      </c>
    </row>
    <row r="32" spans="1:9" x14ac:dyDescent="0.3">
      <c r="A32" t="s">
        <v>306</v>
      </c>
      <c r="B32" s="2">
        <v>46255</v>
      </c>
      <c r="C32" t="s">
        <v>252</v>
      </c>
      <c r="D32" t="s">
        <v>26</v>
      </c>
      <c r="E32">
        <v>594</v>
      </c>
      <c r="F32">
        <v>3.13</v>
      </c>
      <c r="G32">
        <v>535</v>
      </c>
      <c r="H32" s="3">
        <v>0.90067340067340063</v>
      </c>
      <c r="I32" s="4">
        <v>170.926517571885</v>
      </c>
    </row>
    <row r="33" spans="1:9" x14ac:dyDescent="0.3">
      <c r="A33" t="s">
        <v>308</v>
      </c>
      <c r="B33" s="2">
        <v>46336</v>
      </c>
      <c r="C33" t="s">
        <v>252</v>
      </c>
      <c r="D33" t="s">
        <v>34</v>
      </c>
      <c r="E33">
        <v>1140</v>
      </c>
      <c r="F33">
        <v>5.85</v>
      </c>
      <c r="G33">
        <v>1083</v>
      </c>
      <c r="H33" s="3">
        <v>0.95</v>
      </c>
      <c r="I33" s="4">
        <v>185.12820512820514</v>
      </c>
    </row>
    <row r="34" spans="1:9" x14ac:dyDescent="0.3">
      <c r="A34" t="s">
        <v>310</v>
      </c>
      <c r="B34" s="2">
        <v>46334</v>
      </c>
      <c r="C34" t="s">
        <v>278</v>
      </c>
      <c r="D34" t="s">
        <v>29</v>
      </c>
      <c r="E34">
        <v>869</v>
      </c>
      <c r="F34">
        <v>4.37</v>
      </c>
      <c r="G34">
        <v>799</v>
      </c>
      <c r="H34" s="3">
        <v>0.91944764096662834</v>
      </c>
      <c r="I34" s="4">
        <v>182.837528604119</v>
      </c>
    </row>
    <row r="35" spans="1:9" x14ac:dyDescent="0.3">
      <c r="A35" t="s">
        <v>312</v>
      </c>
      <c r="B35" s="2">
        <v>46190</v>
      </c>
      <c r="C35" t="s">
        <v>257</v>
      </c>
      <c r="D35" t="s">
        <v>34</v>
      </c>
      <c r="E35">
        <v>1232</v>
      </c>
      <c r="F35">
        <v>9.32</v>
      </c>
      <c r="G35">
        <v>1010</v>
      </c>
      <c r="H35" s="3">
        <v>0.81980519480519476</v>
      </c>
      <c r="I35" s="4">
        <v>108.36909871244634</v>
      </c>
    </row>
    <row r="36" spans="1:9" x14ac:dyDescent="0.3">
      <c r="A36" t="s">
        <v>314</v>
      </c>
      <c r="B36" s="2">
        <v>46329</v>
      </c>
      <c r="C36" t="s">
        <v>240</v>
      </c>
      <c r="D36" t="s">
        <v>34</v>
      </c>
      <c r="E36">
        <v>839</v>
      </c>
      <c r="F36">
        <v>5.24</v>
      </c>
      <c r="G36">
        <v>730</v>
      </c>
      <c r="H36" s="3">
        <v>0.87008343265792609</v>
      </c>
      <c r="I36" s="4">
        <v>139.31297709923663</v>
      </c>
    </row>
    <row r="37" spans="1:9" x14ac:dyDescent="0.3">
      <c r="A37" t="s">
        <v>316</v>
      </c>
      <c r="B37" s="2">
        <v>46043</v>
      </c>
      <c r="C37" t="s">
        <v>252</v>
      </c>
      <c r="D37" t="s">
        <v>37</v>
      </c>
      <c r="E37">
        <v>1004</v>
      </c>
      <c r="F37">
        <v>5.34</v>
      </c>
      <c r="G37">
        <v>974</v>
      </c>
      <c r="H37" s="3">
        <v>0.97011952191235062</v>
      </c>
      <c r="I37" s="4">
        <v>182.39700374531836</v>
      </c>
    </row>
    <row r="38" spans="1:9" x14ac:dyDescent="0.3">
      <c r="A38" t="s">
        <v>318</v>
      </c>
      <c r="B38" s="2">
        <v>46241</v>
      </c>
      <c r="C38" t="s">
        <v>244</v>
      </c>
      <c r="D38" t="s">
        <v>34</v>
      </c>
      <c r="E38">
        <v>930</v>
      </c>
      <c r="F38">
        <v>5.0999999999999996</v>
      </c>
      <c r="G38">
        <v>874</v>
      </c>
      <c r="H38" s="3">
        <v>0.93978494623655917</v>
      </c>
      <c r="I38" s="4">
        <v>171.37254901960785</v>
      </c>
    </row>
    <row r="39" spans="1:9" x14ac:dyDescent="0.3">
      <c r="A39" t="s">
        <v>320</v>
      </c>
      <c r="B39" s="2">
        <v>46096</v>
      </c>
      <c r="C39" t="s">
        <v>257</v>
      </c>
      <c r="D39" t="s">
        <v>37</v>
      </c>
      <c r="E39">
        <v>1012</v>
      </c>
      <c r="F39">
        <v>7.59</v>
      </c>
      <c r="G39">
        <v>779</v>
      </c>
      <c r="H39" s="3">
        <v>0.76976284584980237</v>
      </c>
      <c r="I39" s="4">
        <v>102.63504611330698</v>
      </c>
    </row>
    <row r="40" spans="1:9" x14ac:dyDescent="0.3">
      <c r="A40" t="s">
        <v>322</v>
      </c>
      <c r="B40" s="2">
        <v>46123</v>
      </c>
      <c r="C40" t="s">
        <v>244</v>
      </c>
      <c r="D40" t="s">
        <v>26</v>
      </c>
      <c r="E40">
        <v>1258</v>
      </c>
      <c r="F40">
        <v>7.24</v>
      </c>
      <c r="G40">
        <v>1157</v>
      </c>
      <c r="H40" s="3">
        <v>0.91971383147853736</v>
      </c>
      <c r="I40" s="4">
        <v>159.80662983425415</v>
      </c>
    </row>
    <row r="41" spans="1:9" x14ac:dyDescent="0.3">
      <c r="A41" t="s">
        <v>324</v>
      </c>
      <c r="B41" s="2">
        <v>46268</v>
      </c>
      <c r="C41" t="s">
        <v>244</v>
      </c>
      <c r="D41" t="s">
        <v>34</v>
      </c>
      <c r="E41">
        <v>901</v>
      </c>
      <c r="F41">
        <v>5.28</v>
      </c>
      <c r="G41">
        <v>838</v>
      </c>
      <c r="H41" s="3">
        <v>0.93007769145394004</v>
      </c>
      <c r="I41" s="4">
        <v>158.71212121212122</v>
      </c>
    </row>
    <row r="42" spans="1:9" x14ac:dyDescent="0.3">
      <c r="A42" t="s">
        <v>326</v>
      </c>
      <c r="B42" s="2">
        <v>46030</v>
      </c>
      <c r="C42" t="s">
        <v>244</v>
      </c>
      <c r="D42" t="s">
        <v>26</v>
      </c>
      <c r="E42">
        <v>561</v>
      </c>
      <c r="F42">
        <v>3.62</v>
      </c>
      <c r="G42">
        <v>511</v>
      </c>
      <c r="H42" s="3">
        <v>0.910873440285205</v>
      </c>
      <c r="I42" s="4">
        <v>141.16022099447514</v>
      </c>
    </row>
    <row r="43" spans="1:9" x14ac:dyDescent="0.3">
      <c r="A43" t="s">
        <v>328</v>
      </c>
      <c r="B43" s="2">
        <v>46035</v>
      </c>
      <c r="C43" t="s">
        <v>252</v>
      </c>
      <c r="D43" t="s">
        <v>32</v>
      </c>
      <c r="E43">
        <v>807</v>
      </c>
      <c r="F43">
        <v>4.25</v>
      </c>
      <c r="G43">
        <v>751</v>
      </c>
      <c r="H43" s="3">
        <v>0.93060718711276336</v>
      </c>
      <c r="I43" s="4">
        <v>176.70588235294119</v>
      </c>
    </row>
    <row r="44" spans="1:9" x14ac:dyDescent="0.3">
      <c r="A44" t="s">
        <v>330</v>
      </c>
      <c r="B44" s="2">
        <v>46337</v>
      </c>
      <c r="C44" t="s">
        <v>252</v>
      </c>
      <c r="D44" t="s">
        <v>29</v>
      </c>
      <c r="E44">
        <v>773</v>
      </c>
      <c r="F44">
        <v>3.67</v>
      </c>
      <c r="G44">
        <v>703</v>
      </c>
      <c r="H44" s="3">
        <v>0.90944372574385512</v>
      </c>
      <c r="I44" s="4">
        <v>191.55313351498637</v>
      </c>
    </row>
    <row r="45" spans="1:9" x14ac:dyDescent="0.3">
      <c r="A45" t="s">
        <v>332</v>
      </c>
      <c r="B45" s="2">
        <v>46175</v>
      </c>
      <c r="C45" t="s">
        <v>257</v>
      </c>
      <c r="D45" t="s">
        <v>37</v>
      </c>
      <c r="E45">
        <v>697</v>
      </c>
      <c r="F45">
        <v>5.57</v>
      </c>
      <c r="G45">
        <v>592</v>
      </c>
      <c r="H45" s="3">
        <v>0.84935437589670015</v>
      </c>
      <c r="I45" s="4">
        <v>106.28366247755834</v>
      </c>
    </row>
    <row r="46" spans="1:9" x14ac:dyDescent="0.3">
      <c r="A46" t="s">
        <v>334</v>
      </c>
      <c r="B46" s="2">
        <v>46041</v>
      </c>
      <c r="C46" t="s">
        <v>244</v>
      </c>
      <c r="D46" t="s">
        <v>29</v>
      </c>
      <c r="E46">
        <v>669</v>
      </c>
      <c r="F46">
        <v>3.67</v>
      </c>
      <c r="G46">
        <v>609</v>
      </c>
      <c r="H46" s="3">
        <v>0.91031390134529144</v>
      </c>
      <c r="I46" s="4">
        <v>165.94005449591282</v>
      </c>
    </row>
    <row r="47" spans="1:9" x14ac:dyDescent="0.3">
      <c r="A47" t="s">
        <v>336</v>
      </c>
      <c r="B47" s="2">
        <v>46056</v>
      </c>
      <c r="C47" t="s">
        <v>244</v>
      </c>
      <c r="D47" t="s">
        <v>34</v>
      </c>
      <c r="E47">
        <v>1170</v>
      </c>
      <c r="F47">
        <v>6.55</v>
      </c>
      <c r="G47">
        <v>1053</v>
      </c>
      <c r="H47" s="3">
        <v>0.9</v>
      </c>
      <c r="I47" s="4">
        <v>160.76335877862596</v>
      </c>
    </row>
    <row r="48" spans="1:9" x14ac:dyDescent="0.3">
      <c r="A48" t="s">
        <v>338</v>
      </c>
      <c r="B48" s="2">
        <v>46294</v>
      </c>
      <c r="C48" t="s">
        <v>240</v>
      </c>
      <c r="D48" t="s">
        <v>37</v>
      </c>
      <c r="E48">
        <v>605</v>
      </c>
      <c r="F48">
        <v>3.91</v>
      </c>
      <c r="G48">
        <v>526</v>
      </c>
      <c r="H48" s="3">
        <v>0.86942148760330573</v>
      </c>
      <c r="I48" s="4">
        <v>134.52685421994883</v>
      </c>
    </row>
    <row r="49" spans="1:9" x14ac:dyDescent="0.3">
      <c r="A49" t="s">
        <v>340</v>
      </c>
      <c r="B49" s="2">
        <v>46081</v>
      </c>
      <c r="C49" t="s">
        <v>278</v>
      </c>
      <c r="D49" t="s">
        <v>29</v>
      </c>
      <c r="E49">
        <v>1031</v>
      </c>
      <c r="F49">
        <v>5.47</v>
      </c>
      <c r="G49">
        <v>938</v>
      </c>
      <c r="H49" s="3">
        <v>0.90979631425800189</v>
      </c>
      <c r="I49" s="4">
        <v>171.48080438756855</v>
      </c>
    </row>
    <row r="50" spans="1:9" x14ac:dyDescent="0.3">
      <c r="A50" t="s">
        <v>342</v>
      </c>
      <c r="B50" s="2">
        <v>46130</v>
      </c>
      <c r="C50" t="s">
        <v>244</v>
      </c>
      <c r="D50" t="s">
        <v>29</v>
      </c>
      <c r="E50">
        <v>625</v>
      </c>
      <c r="F50">
        <v>3.99</v>
      </c>
      <c r="G50">
        <v>556</v>
      </c>
      <c r="H50" s="3">
        <v>0.88959999999999995</v>
      </c>
      <c r="I50" s="4">
        <v>139.34837092731829</v>
      </c>
    </row>
    <row r="51" spans="1:9" x14ac:dyDescent="0.3">
      <c r="A51" t="s">
        <v>344</v>
      </c>
      <c r="B51" s="2">
        <v>46172</v>
      </c>
      <c r="C51" t="s">
        <v>240</v>
      </c>
      <c r="D51" t="s">
        <v>29</v>
      </c>
      <c r="E51">
        <v>518</v>
      </c>
      <c r="F51">
        <v>3.58</v>
      </c>
      <c r="G51">
        <v>466</v>
      </c>
      <c r="H51" s="3">
        <v>0.89961389961389959</v>
      </c>
      <c r="I51" s="4">
        <v>130.16759776536313</v>
      </c>
    </row>
    <row r="52" spans="1:9" x14ac:dyDescent="0.3">
      <c r="A52" t="s">
        <v>346</v>
      </c>
      <c r="B52" s="2">
        <v>46224</v>
      </c>
      <c r="C52" t="s">
        <v>257</v>
      </c>
      <c r="D52" t="s">
        <v>37</v>
      </c>
      <c r="E52">
        <v>1393</v>
      </c>
      <c r="F52">
        <v>10.41</v>
      </c>
      <c r="G52">
        <v>1156</v>
      </c>
      <c r="H52" s="3">
        <v>0.82986360373295043</v>
      </c>
      <c r="I52" s="4">
        <v>111.04707012487992</v>
      </c>
    </row>
    <row r="53" spans="1:9" x14ac:dyDescent="0.3">
      <c r="A53" t="s">
        <v>348</v>
      </c>
      <c r="B53" s="2">
        <v>46313</v>
      </c>
      <c r="C53" t="s">
        <v>240</v>
      </c>
      <c r="D53" t="s">
        <v>29</v>
      </c>
      <c r="E53">
        <v>1280</v>
      </c>
      <c r="F53">
        <v>7.55</v>
      </c>
      <c r="G53">
        <v>1139</v>
      </c>
      <c r="H53" s="3">
        <v>0.88984375000000004</v>
      </c>
      <c r="I53" s="4">
        <v>150.86092715231788</v>
      </c>
    </row>
    <row r="54" spans="1:9" x14ac:dyDescent="0.3">
      <c r="A54" t="s">
        <v>350</v>
      </c>
      <c r="B54" s="2">
        <v>46362</v>
      </c>
      <c r="C54" t="s">
        <v>278</v>
      </c>
      <c r="D54" t="s">
        <v>37</v>
      </c>
      <c r="E54">
        <v>1276</v>
      </c>
      <c r="F54">
        <v>6.89</v>
      </c>
      <c r="G54">
        <v>1199</v>
      </c>
      <c r="H54" s="3">
        <v>0.93965517241379315</v>
      </c>
      <c r="I54" s="4">
        <v>174.02031930333817</v>
      </c>
    </row>
    <row r="55" spans="1:9" x14ac:dyDescent="0.3">
      <c r="A55" t="s">
        <v>352</v>
      </c>
      <c r="B55" s="2">
        <v>46123</v>
      </c>
      <c r="C55" t="s">
        <v>278</v>
      </c>
      <c r="D55" t="s">
        <v>32</v>
      </c>
      <c r="E55">
        <v>764</v>
      </c>
      <c r="F55">
        <v>4.22</v>
      </c>
      <c r="G55">
        <v>703</v>
      </c>
      <c r="H55" s="3">
        <v>0.92015706806282727</v>
      </c>
      <c r="I55" s="4">
        <v>166.58767772511848</v>
      </c>
    </row>
    <row r="56" spans="1:9" x14ac:dyDescent="0.3">
      <c r="A56" t="s">
        <v>354</v>
      </c>
      <c r="B56" s="2">
        <v>46163</v>
      </c>
      <c r="C56" t="s">
        <v>240</v>
      </c>
      <c r="D56" t="s">
        <v>29</v>
      </c>
      <c r="E56">
        <v>977</v>
      </c>
      <c r="F56">
        <v>6.46</v>
      </c>
      <c r="G56">
        <v>879</v>
      </c>
      <c r="H56" s="3">
        <v>0.8996929375639714</v>
      </c>
      <c r="I56" s="4">
        <v>136.06811145510835</v>
      </c>
    </row>
    <row r="57" spans="1:9" x14ac:dyDescent="0.3">
      <c r="A57" t="s">
        <v>356</v>
      </c>
      <c r="B57" s="2">
        <v>46240</v>
      </c>
      <c r="C57" t="s">
        <v>257</v>
      </c>
      <c r="D57" t="s">
        <v>34</v>
      </c>
      <c r="E57">
        <v>1372</v>
      </c>
      <c r="F57">
        <v>10.029999999999999</v>
      </c>
      <c r="G57">
        <v>988</v>
      </c>
      <c r="H57" s="3">
        <v>0.72011661807580174</v>
      </c>
      <c r="I57" s="4">
        <v>98.504486540378863</v>
      </c>
    </row>
    <row r="58" spans="1:9" x14ac:dyDescent="0.3">
      <c r="A58" t="s">
        <v>358</v>
      </c>
      <c r="B58" s="2">
        <v>46293</v>
      </c>
      <c r="C58" t="s">
        <v>244</v>
      </c>
      <c r="D58" t="s">
        <v>26</v>
      </c>
      <c r="E58">
        <v>1312</v>
      </c>
      <c r="F58">
        <v>6.93</v>
      </c>
      <c r="G58">
        <v>1207</v>
      </c>
      <c r="H58" s="3">
        <v>0.91996951219512191</v>
      </c>
      <c r="I58" s="4">
        <v>174.17027417027418</v>
      </c>
    </row>
    <row r="59" spans="1:9" x14ac:dyDescent="0.3">
      <c r="A59" t="s">
        <v>360</v>
      </c>
      <c r="B59" s="2">
        <v>46260</v>
      </c>
      <c r="C59" t="s">
        <v>252</v>
      </c>
      <c r="D59" t="s">
        <v>26</v>
      </c>
      <c r="E59">
        <v>796</v>
      </c>
      <c r="F59">
        <v>4.1900000000000004</v>
      </c>
      <c r="G59">
        <v>724</v>
      </c>
      <c r="H59" s="3">
        <v>0.90954773869346739</v>
      </c>
      <c r="I59" s="4">
        <v>172.79236276849642</v>
      </c>
    </row>
    <row r="60" spans="1:9" x14ac:dyDescent="0.3">
      <c r="A60" t="s">
        <v>362</v>
      </c>
      <c r="B60" s="2">
        <v>46122</v>
      </c>
      <c r="C60" t="s">
        <v>244</v>
      </c>
      <c r="D60" t="s">
        <v>32</v>
      </c>
      <c r="E60">
        <v>1124</v>
      </c>
      <c r="F60">
        <v>6.7</v>
      </c>
      <c r="G60">
        <v>978</v>
      </c>
      <c r="H60" s="3">
        <v>0.87010676156583633</v>
      </c>
      <c r="I60" s="4">
        <v>145.97014925373134</v>
      </c>
    </row>
    <row r="61" spans="1:9" x14ac:dyDescent="0.3">
      <c r="A61" t="s">
        <v>364</v>
      </c>
      <c r="B61" s="2">
        <v>46098</v>
      </c>
      <c r="C61" t="s">
        <v>244</v>
      </c>
      <c r="D61" t="s">
        <v>32</v>
      </c>
      <c r="E61">
        <v>550</v>
      </c>
      <c r="F61">
        <v>3.26</v>
      </c>
      <c r="G61">
        <v>484</v>
      </c>
      <c r="H61" s="3">
        <v>0.88</v>
      </c>
      <c r="I61" s="4">
        <v>148.46625766871168</v>
      </c>
    </row>
    <row r="62" spans="1:9" x14ac:dyDescent="0.3">
      <c r="A62" t="s">
        <v>366</v>
      </c>
      <c r="B62" s="2">
        <v>46310</v>
      </c>
      <c r="C62" t="s">
        <v>278</v>
      </c>
      <c r="D62" t="s">
        <v>34</v>
      </c>
      <c r="E62">
        <v>741</v>
      </c>
      <c r="F62">
        <v>4.4800000000000004</v>
      </c>
      <c r="G62">
        <v>652</v>
      </c>
      <c r="H62" s="3">
        <v>0.87989203778677461</v>
      </c>
      <c r="I62" s="4">
        <v>145.53571428571428</v>
      </c>
    </row>
    <row r="63" spans="1:9" x14ac:dyDescent="0.3">
      <c r="A63" t="s">
        <v>368</v>
      </c>
      <c r="B63" s="2">
        <v>46214</v>
      </c>
      <c r="C63" t="s">
        <v>257</v>
      </c>
      <c r="D63" t="s">
        <v>26</v>
      </c>
      <c r="E63">
        <v>821</v>
      </c>
      <c r="F63">
        <v>6.21</v>
      </c>
      <c r="G63">
        <v>599</v>
      </c>
      <c r="H63" s="3">
        <v>0.7295980511571255</v>
      </c>
      <c r="I63" s="4">
        <v>96.457326892109506</v>
      </c>
    </row>
    <row r="64" spans="1:9" x14ac:dyDescent="0.3">
      <c r="A64" t="s">
        <v>370</v>
      </c>
      <c r="B64" s="2">
        <v>46180</v>
      </c>
      <c r="C64" t="s">
        <v>278</v>
      </c>
      <c r="D64" t="s">
        <v>34</v>
      </c>
      <c r="E64">
        <v>631</v>
      </c>
      <c r="F64">
        <v>3.31</v>
      </c>
      <c r="G64">
        <v>581</v>
      </c>
      <c r="H64" s="3">
        <v>0.92076069730586374</v>
      </c>
      <c r="I64" s="4">
        <v>175.5287009063444</v>
      </c>
    </row>
    <row r="65" spans="1:9" x14ac:dyDescent="0.3">
      <c r="A65" t="s">
        <v>372</v>
      </c>
      <c r="B65" s="2">
        <v>46361</v>
      </c>
      <c r="C65" t="s">
        <v>257</v>
      </c>
      <c r="D65" t="s">
        <v>37</v>
      </c>
      <c r="E65">
        <v>926</v>
      </c>
      <c r="F65">
        <v>6.64</v>
      </c>
      <c r="G65">
        <v>667</v>
      </c>
      <c r="H65" s="3">
        <v>0.72030237580993517</v>
      </c>
      <c r="I65" s="4">
        <v>100.45180722891567</v>
      </c>
    </row>
    <row r="66" spans="1:9" x14ac:dyDescent="0.3">
      <c r="A66" t="s">
        <v>374</v>
      </c>
      <c r="B66" s="2">
        <v>46198</v>
      </c>
      <c r="C66" t="s">
        <v>240</v>
      </c>
      <c r="D66" t="s">
        <v>37</v>
      </c>
      <c r="E66">
        <v>990</v>
      </c>
      <c r="F66">
        <v>5.96</v>
      </c>
      <c r="G66">
        <v>871</v>
      </c>
      <c r="H66" s="3">
        <v>0.8797979797979798</v>
      </c>
      <c r="I66" s="4">
        <v>146.14093959731542</v>
      </c>
    </row>
    <row r="67" spans="1:9" x14ac:dyDescent="0.3">
      <c r="A67" t="s">
        <v>376</v>
      </c>
      <c r="B67" s="2">
        <v>46252</v>
      </c>
      <c r="C67" t="s">
        <v>240</v>
      </c>
      <c r="D67" t="s">
        <v>37</v>
      </c>
      <c r="E67">
        <v>1115</v>
      </c>
      <c r="F67">
        <v>7</v>
      </c>
      <c r="G67">
        <v>992</v>
      </c>
      <c r="H67" s="3">
        <v>0.88968609865470849</v>
      </c>
      <c r="I67" s="4">
        <v>141.71428571428572</v>
      </c>
    </row>
    <row r="68" spans="1:9" x14ac:dyDescent="0.3">
      <c r="A68" t="s">
        <v>378</v>
      </c>
      <c r="B68" s="2">
        <v>46142</v>
      </c>
      <c r="C68" t="s">
        <v>244</v>
      </c>
      <c r="D68" t="s">
        <v>32</v>
      </c>
      <c r="E68">
        <v>894</v>
      </c>
      <c r="F68">
        <v>4.9800000000000004</v>
      </c>
      <c r="G68">
        <v>814</v>
      </c>
      <c r="H68" s="3">
        <v>0.91051454138702459</v>
      </c>
      <c r="I68" s="4">
        <v>163.45381526104416</v>
      </c>
    </row>
    <row r="69" spans="1:9" x14ac:dyDescent="0.3">
      <c r="A69" t="s">
        <v>380</v>
      </c>
      <c r="B69" s="2">
        <v>46313</v>
      </c>
      <c r="C69" t="s">
        <v>244</v>
      </c>
      <c r="D69" t="s">
        <v>34</v>
      </c>
      <c r="E69">
        <v>1334</v>
      </c>
      <c r="F69">
        <v>7.22</v>
      </c>
      <c r="G69">
        <v>1201</v>
      </c>
      <c r="H69" s="3">
        <v>0.90029985007496249</v>
      </c>
      <c r="I69" s="4">
        <v>166.34349030470915</v>
      </c>
    </row>
    <row r="70" spans="1:9" x14ac:dyDescent="0.3">
      <c r="A70" t="s">
        <v>382</v>
      </c>
      <c r="B70" s="2">
        <v>46331</v>
      </c>
      <c r="C70" t="s">
        <v>244</v>
      </c>
      <c r="D70" t="s">
        <v>32</v>
      </c>
      <c r="E70">
        <v>602</v>
      </c>
      <c r="F70">
        <v>3.41</v>
      </c>
      <c r="G70">
        <v>536</v>
      </c>
      <c r="H70" s="3">
        <v>0.89036544850498334</v>
      </c>
      <c r="I70" s="4">
        <v>157.18475073313783</v>
      </c>
    </row>
    <row r="71" spans="1:9" x14ac:dyDescent="0.3">
      <c r="A71" t="s">
        <v>384</v>
      </c>
      <c r="B71" s="2">
        <v>46186</v>
      </c>
      <c r="C71" t="s">
        <v>257</v>
      </c>
      <c r="D71" t="s">
        <v>32</v>
      </c>
      <c r="E71">
        <v>1197</v>
      </c>
      <c r="F71">
        <v>8.82</v>
      </c>
      <c r="G71">
        <v>994</v>
      </c>
      <c r="H71" s="3">
        <v>0.83040935672514615</v>
      </c>
      <c r="I71" s="4">
        <v>112.6984126984127</v>
      </c>
    </row>
    <row r="72" spans="1:9" x14ac:dyDescent="0.3">
      <c r="A72" t="s">
        <v>386</v>
      </c>
      <c r="B72" s="2">
        <v>46144</v>
      </c>
      <c r="C72" t="s">
        <v>257</v>
      </c>
      <c r="D72" t="s">
        <v>37</v>
      </c>
      <c r="E72">
        <v>795</v>
      </c>
      <c r="F72">
        <v>5.99</v>
      </c>
      <c r="G72">
        <v>604</v>
      </c>
      <c r="H72" s="3">
        <v>0.75974842767295603</v>
      </c>
      <c r="I72" s="4">
        <v>100.8347245409015</v>
      </c>
    </row>
    <row r="73" spans="1:9" x14ac:dyDescent="0.3">
      <c r="A73" t="s">
        <v>388</v>
      </c>
      <c r="B73" s="2">
        <v>46280</v>
      </c>
      <c r="C73" t="s">
        <v>278</v>
      </c>
      <c r="D73" t="s">
        <v>37</v>
      </c>
      <c r="E73">
        <v>1228</v>
      </c>
      <c r="F73">
        <v>6.38</v>
      </c>
      <c r="G73">
        <v>1130</v>
      </c>
      <c r="H73" s="3">
        <v>0.92019543973941365</v>
      </c>
      <c r="I73" s="4">
        <v>177.11598746081506</v>
      </c>
    </row>
    <row r="74" spans="1:9" x14ac:dyDescent="0.3">
      <c r="A74" t="s">
        <v>390</v>
      </c>
      <c r="B74" s="2">
        <v>46106</v>
      </c>
      <c r="C74" t="s">
        <v>240</v>
      </c>
      <c r="D74" t="s">
        <v>29</v>
      </c>
      <c r="E74">
        <v>737</v>
      </c>
      <c r="F74">
        <v>5.0999999999999996</v>
      </c>
      <c r="G74">
        <v>619</v>
      </c>
      <c r="H74" s="3">
        <v>0.83989145183175029</v>
      </c>
      <c r="I74" s="4">
        <v>121.37254901960785</v>
      </c>
    </row>
    <row r="75" spans="1:9" x14ac:dyDescent="0.3">
      <c r="A75" t="s">
        <v>392</v>
      </c>
      <c r="B75" s="2">
        <v>46323</v>
      </c>
      <c r="C75" t="s">
        <v>278</v>
      </c>
      <c r="D75" t="s">
        <v>34</v>
      </c>
      <c r="E75">
        <v>577</v>
      </c>
      <c r="F75">
        <v>3.52</v>
      </c>
      <c r="G75">
        <v>514</v>
      </c>
      <c r="H75" s="3">
        <v>0.89081455805892551</v>
      </c>
      <c r="I75" s="4">
        <v>146.02272727272728</v>
      </c>
    </row>
    <row r="76" spans="1:9" x14ac:dyDescent="0.3">
      <c r="A76" t="s">
        <v>394</v>
      </c>
      <c r="B76" s="2">
        <v>46193</v>
      </c>
      <c r="C76" t="s">
        <v>252</v>
      </c>
      <c r="D76" t="s">
        <v>26</v>
      </c>
      <c r="E76">
        <v>1398</v>
      </c>
      <c r="F76">
        <v>6.62</v>
      </c>
      <c r="G76">
        <v>1286</v>
      </c>
      <c r="H76" s="3">
        <v>0.91988555078683831</v>
      </c>
      <c r="I76" s="4">
        <v>194.25981873111783</v>
      </c>
    </row>
    <row r="77" spans="1:9" x14ac:dyDescent="0.3">
      <c r="A77" t="s">
        <v>396</v>
      </c>
      <c r="B77" s="2">
        <v>46062</v>
      </c>
      <c r="C77" t="s">
        <v>257</v>
      </c>
      <c r="D77" t="s">
        <v>32</v>
      </c>
      <c r="E77">
        <v>515</v>
      </c>
      <c r="F77">
        <v>3.74</v>
      </c>
      <c r="G77">
        <v>412</v>
      </c>
      <c r="H77" s="3">
        <v>0.8</v>
      </c>
      <c r="I77" s="4">
        <v>110.16042780748663</v>
      </c>
    </row>
    <row r="78" spans="1:9" x14ac:dyDescent="0.3">
      <c r="A78" t="s">
        <v>398</v>
      </c>
      <c r="B78" s="2">
        <v>46161</v>
      </c>
      <c r="C78" t="s">
        <v>244</v>
      </c>
      <c r="D78" t="s">
        <v>29</v>
      </c>
      <c r="E78">
        <v>1131</v>
      </c>
      <c r="F78">
        <v>6.75</v>
      </c>
      <c r="G78">
        <v>995</v>
      </c>
      <c r="H78" s="3">
        <v>0.87975243147656945</v>
      </c>
      <c r="I78" s="4">
        <v>147.40740740740742</v>
      </c>
    </row>
    <row r="79" spans="1:9" x14ac:dyDescent="0.3">
      <c r="A79" t="s">
        <v>400</v>
      </c>
      <c r="B79" s="2">
        <v>46243</v>
      </c>
      <c r="C79" t="s">
        <v>252</v>
      </c>
      <c r="D79" t="s">
        <v>37</v>
      </c>
      <c r="E79">
        <v>886</v>
      </c>
      <c r="F79">
        <v>4.5</v>
      </c>
      <c r="G79">
        <v>806</v>
      </c>
      <c r="H79" s="3">
        <v>0.90970654627539504</v>
      </c>
      <c r="I79" s="4">
        <v>179.11111111111111</v>
      </c>
    </row>
    <row r="80" spans="1:9" x14ac:dyDescent="0.3">
      <c r="A80" t="s">
        <v>402</v>
      </c>
      <c r="B80" s="2">
        <v>46203</v>
      </c>
      <c r="C80" t="s">
        <v>240</v>
      </c>
      <c r="D80" t="s">
        <v>26</v>
      </c>
      <c r="E80">
        <v>1424</v>
      </c>
      <c r="F80">
        <v>8.9499999999999993</v>
      </c>
      <c r="G80">
        <v>1267</v>
      </c>
      <c r="H80" s="3">
        <v>0.889747191011236</v>
      </c>
      <c r="I80" s="4">
        <v>141.56424581005587</v>
      </c>
    </row>
    <row r="81" spans="1:9" x14ac:dyDescent="0.3">
      <c r="A81" t="s">
        <v>404</v>
      </c>
      <c r="B81" s="2">
        <v>46029</v>
      </c>
      <c r="C81" t="s">
        <v>240</v>
      </c>
      <c r="D81" t="s">
        <v>34</v>
      </c>
      <c r="E81">
        <v>1041</v>
      </c>
      <c r="F81">
        <v>6.64</v>
      </c>
      <c r="G81">
        <v>874</v>
      </c>
      <c r="H81" s="3">
        <v>0.83957732949087416</v>
      </c>
      <c r="I81" s="4">
        <v>131.62650602409639</v>
      </c>
    </row>
    <row r="82" spans="1:9" x14ac:dyDescent="0.3">
      <c r="A82" t="s">
        <v>406</v>
      </c>
      <c r="B82" s="2">
        <v>46375</v>
      </c>
      <c r="C82" t="s">
        <v>240</v>
      </c>
      <c r="D82" t="s">
        <v>26</v>
      </c>
      <c r="E82">
        <v>540</v>
      </c>
      <c r="F82">
        <v>3.61</v>
      </c>
      <c r="G82">
        <v>486</v>
      </c>
      <c r="H82" s="3">
        <v>0.9</v>
      </c>
      <c r="I82" s="4">
        <v>134.62603878116343</v>
      </c>
    </row>
    <row r="83" spans="1:9" x14ac:dyDescent="0.3">
      <c r="A83" t="s">
        <v>408</v>
      </c>
      <c r="B83" s="2">
        <v>46272</v>
      </c>
      <c r="C83" t="s">
        <v>240</v>
      </c>
      <c r="D83" t="s">
        <v>29</v>
      </c>
      <c r="E83">
        <v>603</v>
      </c>
      <c r="F83">
        <v>4</v>
      </c>
      <c r="G83">
        <v>519</v>
      </c>
      <c r="H83" s="3">
        <v>0.86069651741293529</v>
      </c>
      <c r="I83" s="4">
        <v>129.75</v>
      </c>
    </row>
    <row r="84" spans="1:9" x14ac:dyDescent="0.3">
      <c r="A84" t="s">
        <v>410</v>
      </c>
      <c r="B84" s="2">
        <v>46082</v>
      </c>
      <c r="C84" t="s">
        <v>240</v>
      </c>
      <c r="D84" t="s">
        <v>37</v>
      </c>
      <c r="E84">
        <v>575</v>
      </c>
      <c r="F84">
        <v>3.4</v>
      </c>
      <c r="G84">
        <v>506</v>
      </c>
      <c r="H84" s="3">
        <v>0.88</v>
      </c>
      <c r="I84" s="4">
        <v>148.8235294117647</v>
      </c>
    </row>
    <row r="85" spans="1:9" x14ac:dyDescent="0.3">
      <c r="A85" t="s">
        <v>412</v>
      </c>
      <c r="B85" s="2">
        <v>46344</v>
      </c>
      <c r="C85" t="s">
        <v>252</v>
      </c>
      <c r="D85" t="s">
        <v>29</v>
      </c>
      <c r="E85">
        <v>549</v>
      </c>
      <c r="F85">
        <v>2.73</v>
      </c>
      <c r="G85">
        <v>527</v>
      </c>
      <c r="H85" s="3">
        <v>0.95992714025500914</v>
      </c>
      <c r="I85" s="4">
        <v>193.04029304029305</v>
      </c>
    </row>
    <row r="86" spans="1:9" x14ac:dyDescent="0.3">
      <c r="A86" t="s">
        <v>414</v>
      </c>
      <c r="B86" s="2">
        <v>46199</v>
      </c>
      <c r="C86" t="s">
        <v>257</v>
      </c>
      <c r="D86" t="s">
        <v>34</v>
      </c>
      <c r="E86">
        <v>808</v>
      </c>
      <c r="F86">
        <v>6.57</v>
      </c>
      <c r="G86">
        <v>695</v>
      </c>
      <c r="H86" s="3">
        <v>0.86014851485148514</v>
      </c>
      <c r="I86" s="4">
        <v>105.78386605783865</v>
      </c>
    </row>
    <row r="87" spans="1:9" x14ac:dyDescent="0.3">
      <c r="A87" t="s">
        <v>416</v>
      </c>
      <c r="B87" s="2">
        <v>46299</v>
      </c>
      <c r="C87" t="s">
        <v>240</v>
      </c>
      <c r="D87" t="s">
        <v>37</v>
      </c>
      <c r="E87">
        <v>1228</v>
      </c>
      <c r="F87">
        <v>7.81</v>
      </c>
      <c r="G87">
        <v>1081</v>
      </c>
      <c r="H87" s="3">
        <v>0.88029315960912047</v>
      </c>
      <c r="I87" s="4">
        <v>138.41229193341871</v>
      </c>
    </row>
    <row r="88" spans="1:9" x14ac:dyDescent="0.3">
      <c r="A88" t="s">
        <v>418</v>
      </c>
      <c r="B88" s="2">
        <v>46228</v>
      </c>
      <c r="C88" t="s">
        <v>240</v>
      </c>
      <c r="D88" t="s">
        <v>34</v>
      </c>
      <c r="E88">
        <v>825</v>
      </c>
      <c r="F88">
        <v>4.9400000000000004</v>
      </c>
      <c r="G88">
        <v>701</v>
      </c>
      <c r="H88" s="3">
        <v>0.84969696969696973</v>
      </c>
      <c r="I88" s="4">
        <v>141.90283400809716</v>
      </c>
    </row>
    <row r="89" spans="1:9" x14ac:dyDescent="0.3">
      <c r="A89" t="s">
        <v>420</v>
      </c>
      <c r="B89" s="2">
        <v>46160</v>
      </c>
      <c r="C89" t="s">
        <v>278</v>
      </c>
      <c r="D89" t="s">
        <v>34</v>
      </c>
      <c r="E89">
        <v>745</v>
      </c>
      <c r="F89">
        <v>4.34</v>
      </c>
      <c r="G89">
        <v>693</v>
      </c>
      <c r="H89" s="3">
        <v>0.93020134228187923</v>
      </c>
      <c r="I89" s="4">
        <v>159.67741935483872</v>
      </c>
    </row>
    <row r="90" spans="1:9" x14ac:dyDescent="0.3">
      <c r="A90" t="s">
        <v>422</v>
      </c>
      <c r="B90" s="2">
        <v>46375</v>
      </c>
      <c r="C90" t="s">
        <v>278</v>
      </c>
      <c r="D90" t="s">
        <v>32</v>
      </c>
      <c r="E90">
        <v>1364</v>
      </c>
      <c r="F90">
        <v>7.07</v>
      </c>
      <c r="G90">
        <v>1296</v>
      </c>
      <c r="H90" s="3">
        <v>0.95014662756598245</v>
      </c>
      <c r="I90" s="4">
        <v>183.30975954738329</v>
      </c>
    </row>
    <row r="91" spans="1:9" x14ac:dyDescent="0.3">
      <c r="A91" t="s">
        <v>424</v>
      </c>
      <c r="B91" s="2">
        <v>46144</v>
      </c>
      <c r="C91" t="s">
        <v>257</v>
      </c>
      <c r="D91" t="s">
        <v>34</v>
      </c>
      <c r="E91">
        <v>743</v>
      </c>
      <c r="F91">
        <v>5.56</v>
      </c>
      <c r="G91">
        <v>535</v>
      </c>
      <c r="H91" s="3">
        <v>0.72005383580080751</v>
      </c>
      <c r="I91" s="4">
        <v>96.223021582733821</v>
      </c>
    </row>
    <row r="92" spans="1:9" x14ac:dyDescent="0.3">
      <c r="A92" t="s">
        <v>426</v>
      </c>
      <c r="B92" s="2">
        <v>46089</v>
      </c>
      <c r="C92" t="s">
        <v>278</v>
      </c>
      <c r="D92" t="s">
        <v>34</v>
      </c>
      <c r="E92">
        <v>755</v>
      </c>
      <c r="F92">
        <v>4.13</v>
      </c>
      <c r="G92">
        <v>702</v>
      </c>
      <c r="H92" s="3">
        <v>0.92980132450331121</v>
      </c>
      <c r="I92" s="4">
        <v>169.97578692493948</v>
      </c>
    </row>
    <row r="93" spans="1:9" x14ac:dyDescent="0.3">
      <c r="A93" t="s">
        <v>428</v>
      </c>
      <c r="B93" s="2">
        <v>46205</v>
      </c>
      <c r="C93" t="s">
        <v>252</v>
      </c>
      <c r="D93" t="s">
        <v>26</v>
      </c>
      <c r="E93">
        <v>539</v>
      </c>
      <c r="F93">
        <v>3.17</v>
      </c>
      <c r="G93">
        <v>490</v>
      </c>
      <c r="H93" s="3">
        <v>0.90909090909090906</v>
      </c>
      <c r="I93" s="4">
        <v>154.57413249211356</v>
      </c>
    </row>
    <row r="94" spans="1:9" x14ac:dyDescent="0.3">
      <c r="A94" t="s">
        <v>430</v>
      </c>
      <c r="B94" s="2">
        <v>46120</v>
      </c>
      <c r="C94" t="s">
        <v>240</v>
      </c>
      <c r="D94" t="s">
        <v>26</v>
      </c>
      <c r="E94">
        <v>976</v>
      </c>
      <c r="F94">
        <v>6.14</v>
      </c>
      <c r="G94">
        <v>839</v>
      </c>
      <c r="H94" s="3">
        <v>0.85963114754098358</v>
      </c>
      <c r="I94" s="4">
        <v>136.64495114006516</v>
      </c>
    </row>
    <row r="95" spans="1:9" x14ac:dyDescent="0.3">
      <c r="A95" t="s">
        <v>432</v>
      </c>
      <c r="B95" s="2">
        <v>46278</v>
      </c>
      <c r="C95" t="s">
        <v>244</v>
      </c>
      <c r="D95" t="s">
        <v>29</v>
      </c>
      <c r="E95">
        <v>1488</v>
      </c>
      <c r="F95">
        <v>8.1</v>
      </c>
      <c r="G95">
        <v>1339</v>
      </c>
      <c r="H95" s="3">
        <v>0.8998655913978495</v>
      </c>
      <c r="I95" s="4">
        <v>165.30864197530866</v>
      </c>
    </row>
    <row r="96" spans="1:9" x14ac:dyDescent="0.3">
      <c r="A96" t="s">
        <v>434</v>
      </c>
      <c r="B96" s="2">
        <v>46085</v>
      </c>
      <c r="C96" t="s">
        <v>278</v>
      </c>
      <c r="D96" t="s">
        <v>29</v>
      </c>
      <c r="E96">
        <v>1047</v>
      </c>
      <c r="F96">
        <v>5.9</v>
      </c>
      <c r="G96">
        <v>942</v>
      </c>
      <c r="H96" s="3">
        <v>0.89971346704871058</v>
      </c>
      <c r="I96" s="4">
        <v>159.66101694915253</v>
      </c>
    </row>
    <row r="97" spans="1:9" x14ac:dyDescent="0.3">
      <c r="A97" t="s">
        <v>436</v>
      </c>
      <c r="B97" s="2">
        <v>46150</v>
      </c>
      <c r="C97" t="s">
        <v>244</v>
      </c>
      <c r="D97" t="s">
        <v>29</v>
      </c>
      <c r="E97">
        <v>880</v>
      </c>
      <c r="F97">
        <v>5.17</v>
      </c>
      <c r="G97">
        <v>801</v>
      </c>
      <c r="H97" s="3">
        <v>0.91022727272727277</v>
      </c>
      <c r="I97" s="4">
        <v>154.93230174081239</v>
      </c>
    </row>
    <row r="98" spans="1:9" x14ac:dyDescent="0.3">
      <c r="A98" t="s">
        <v>438</v>
      </c>
      <c r="B98" s="2">
        <v>46097</v>
      </c>
      <c r="C98" t="s">
        <v>278</v>
      </c>
      <c r="D98" t="s">
        <v>26</v>
      </c>
      <c r="E98">
        <v>648</v>
      </c>
      <c r="F98">
        <v>3.7</v>
      </c>
      <c r="G98">
        <v>590</v>
      </c>
      <c r="H98" s="3">
        <v>0.91049382716049387</v>
      </c>
      <c r="I98" s="4">
        <v>159.45945945945945</v>
      </c>
    </row>
    <row r="99" spans="1:9" x14ac:dyDescent="0.3">
      <c r="A99" t="s">
        <v>440</v>
      </c>
      <c r="B99" s="2">
        <v>46333</v>
      </c>
      <c r="C99" t="s">
        <v>278</v>
      </c>
      <c r="D99" t="s">
        <v>26</v>
      </c>
      <c r="E99">
        <v>827</v>
      </c>
      <c r="F99">
        <v>4.92</v>
      </c>
      <c r="G99">
        <v>786</v>
      </c>
      <c r="H99" s="3">
        <v>0.95042321644498184</v>
      </c>
      <c r="I99" s="4">
        <v>159.7560975609756</v>
      </c>
    </row>
    <row r="100" spans="1:9" x14ac:dyDescent="0.3">
      <c r="A100" t="s">
        <v>442</v>
      </c>
      <c r="B100" s="2">
        <v>46115</v>
      </c>
      <c r="C100" t="s">
        <v>252</v>
      </c>
      <c r="D100" t="s">
        <v>29</v>
      </c>
      <c r="E100">
        <v>1043</v>
      </c>
      <c r="F100">
        <v>5.13</v>
      </c>
      <c r="G100">
        <v>960</v>
      </c>
      <c r="H100" s="3">
        <v>0.92042186001917548</v>
      </c>
      <c r="I100" s="4">
        <v>187.13450292397661</v>
      </c>
    </row>
    <row r="101" spans="1:9" x14ac:dyDescent="0.3">
      <c r="A101" t="s">
        <v>444</v>
      </c>
      <c r="B101" s="2">
        <v>46081</v>
      </c>
      <c r="C101" t="s">
        <v>244</v>
      </c>
      <c r="D101" t="s">
        <v>29</v>
      </c>
      <c r="E101">
        <v>1314</v>
      </c>
      <c r="F101">
        <v>7.55</v>
      </c>
      <c r="G101">
        <v>1196</v>
      </c>
      <c r="H101" s="3">
        <v>0.91019786910197864</v>
      </c>
      <c r="I101" s="4">
        <v>158.41059602649008</v>
      </c>
    </row>
    <row r="102" spans="1:9" x14ac:dyDescent="0.3">
      <c r="A102" t="s">
        <v>446</v>
      </c>
      <c r="B102" s="2">
        <v>46153</v>
      </c>
      <c r="C102" t="s">
        <v>257</v>
      </c>
      <c r="D102" t="s">
        <v>29</v>
      </c>
      <c r="E102">
        <v>880</v>
      </c>
      <c r="F102">
        <v>6.93</v>
      </c>
      <c r="G102">
        <v>686</v>
      </c>
      <c r="H102" s="3">
        <v>0.77954545454545454</v>
      </c>
      <c r="I102" s="4">
        <v>98.98989898989899</v>
      </c>
    </row>
    <row r="103" spans="1:9" x14ac:dyDescent="0.3">
      <c r="A103" t="s">
        <v>448</v>
      </c>
      <c r="B103" s="2">
        <v>46257</v>
      </c>
      <c r="C103" t="s">
        <v>252</v>
      </c>
      <c r="D103" t="s">
        <v>26</v>
      </c>
      <c r="E103">
        <v>1240</v>
      </c>
      <c r="F103">
        <v>6.09</v>
      </c>
      <c r="G103">
        <v>1166</v>
      </c>
      <c r="H103" s="3">
        <v>0.94032258064516128</v>
      </c>
      <c r="I103" s="4">
        <v>191.46141215106732</v>
      </c>
    </row>
    <row r="104" spans="1:9" x14ac:dyDescent="0.3">
      <c r="A104" t="s">
        <v>450</v>
      </c>
      <c r="B104" s="2">
        <v>46276</v>
      </c>
      <c r="C104" t="s">
        <v>244</v>
      </c>
      <c r="D104" t="s">
        <v>34</v>
      </c>
      <c r="E104">
        <v>633</v>
      </c>
      <c r="F104">
        <v>3.78</v>
      </c>
      <c r="G104">
        <v>570</v>
      </c>
      <c r="H104" s="3">
        <v>0.90047393364928907</v>
      </c>
      <c r="I104" s="4">
        <v>150.79365079365081</v>
      </c>
    </row>
    <row r="105" spans="1:9" x14ac:dyDescent="0.3">
      <c r="A105" t="s">
        <v>452</v>
      </c>
      <c r="B105" s="2">
        <v>46347</v>
      </c>
      <c r="C105" t="s">
        <v>278</v>
      </c>
      <c r="D105" t="s">
        <v>26</v>
      </c>
      <c r="E105">
        <v>1177</v>
      </c>
      <c r="F105">
        <v>6.26</v>
      </c>
      <c r="G105">
        <v>1095</v>
      </c>
      <c r="H105" s="3">
        <v>0.93033135089209851</v>
      </c>
      <c r="I105" s="4">
        <v>174.92012779552715</v>
      </c>
    </row>
    <row r="106" spans="1:9" x14ac:dyDescent="0.3">
      <c r="A106" t="s">
        <v>454</v>
      </c>
      <c r="B106" s="2">
        <v>46161</v>
      </c>
      <c r="C106" t="s">
        <v>278</v>
      </c>
      <c r="D106" t="s">
        <v>37</v>
      </c>
      <c r="E106">
        <v>981</v>
      </c>
      <c r="F106">
        <v>5.15</v>
      </c>
      <c r="G106">
        <v>863</v>
      </c>
      <c r="H106" s="3">
        <v>0.87971457696228339</v>
      </c>
      <c r="I106" s="4">
        <v>167.57281553398056</v>
      </c>
    </row>
    <row r="107" spans="1:9" x14ac:dyDescent="0.3">
      <c r="A107" t="s">
        <v>456</v>
      </c>
      <c r="B107" s="2">
        <v>46089</v>
      </c>
      <c r="C107" t="s">
        <v>240</v>
      </c>
      <c r="D107" t="s">
        <v>26</v>
      </c>
      <c r="E107">
        <v>684</v>
      </c>
      <c r="F107">
        <v>4.6500000000000004</v>
      </c>
      <c r="G107">
        <v>622</v>
      </c>
      <c r="H107" s="3">
        <v>0.90935672514619881</v>
      </c>
      <c r="I107" s="4">
        <v>133.76344086021504</v>
      </c>
    </row>
    <row r="108" spans="1:9" x14ac:dyDescent="0.3">
      <c r="A108" t="s">
        <v>458</v>
      </c>
      <c r="B108" s="2">
        <v>46382</v>
      </c>
      <c r="C108" t="s">
        <v>278</v>
      </c>
      <c r="D108" t="s">
        <v>34</v>
      </c>
      <c r="E108">
        <v>1255</v>
      </c>
      <c r="F108">
        <v>6.39</v>
      </c>
      <c r="G108">
        <v>1192</v>
      </c>
      <c r="H108" s="3">
        <v>0.94980079681274898</v>
      </c>
      <c r="I108" s="4">
        <v>186.5414710485133</v>
      </c>
    </row>
    <row r="109" spans="1:9" x14ac:dyDescent="0.3">
      <c r="A109" t="s">
        <v>460</v>
      </c>
      <c r="B109" s="2">
        <v>46101</v>
      </c>
      <c r="C109" t="s">
        <v>240</v>
      </c>
      <c r="D109" t="s">
        <v>32</v>
      </c>
      <c r="E109">
        <v>550</v>
      </c>
      <c r="F109">
        <v>3.84</v>
      </c>
      <c r="G109">
        <v>506</v>
      </c>
      <c r="H109" s="3">
        <v>0.92</v>
      </c>
      <c r="I109" s="4">
        <v>131.77083333333334</v>
      </c>
    </row>
    <row r="110" spans="1:9" x14ac:dyDescent="0.3">
      <c r="A110" t="s">
        <v>462</v>
      </c>
      <c r="B110" s="2">
        <v>46339</v>
      </c>
      <c r="C110" t="s">
        <v>278</v>
      </c>
      <c r="D110" t="s">
        <v>29</v>
      </c>
      <c r="E110">
        <v>638</v>
      </c>
      <c r="F110">
        <v>3.96</v>
      </c>
      <c r="G110">
        <v>561</v>
      </c>
      <c r="H110" s="3">
        <v>0.87931034482758619</v>
      </c>
      <c r="I110" s="4">
        <v>141.66666666666666</v>
      </c>
    </row>
    <row r="111" spans="1:9" x14ac:dyDescent="0.3">
      <c r="A111" t="s">
        <v>464</v>
      </c>
      <c r="B111" s="2">
        <v>46173</v>
      </c>
      <c r="C111" t="s">
        <v>252</v>
      </c>
      <c r="D111" t="s">
        <v>34</v>
      </c>
      <c r="E111">
        <v>947</v>
      </c>
      <c r="F111">
        <v>5.09</v>
      </c>
      <c r="G111">
        <v>890</v>
      </c>
      <c r="H111" s="3">
        <v>0.93980992608236535</v>
      </c>
      <c r="I111" s="4">
        <v>174.85265225933202</v>
      </c>
    </row>
    <row r="112" spans="1:9" x14ac:dyDescent="0.3">
      <c r="A112" t="s">
        <v>466</v>
      </c>
      <c r="B112" s="2">
        <v>46234</v>
      </c>
      <c r="C112" t="s">
        <v>244</v>
      </c>
      <c r="D112" t="s">
        <v>37</v>
      </c>
      <c r="E112">
        <v>927</v>
      </c>
      <c r="F112">
        <v>5.42</v>
      </c>
      <c r="G112">
        <v>806</v>
      </c>
      <c r="H112" s="3">
        <v>0.86947141316073351</v>
      </c>
      <c r="I112" s="4">
        <v>148.70848708487085</v>
      </c>
    </row>
    <row r="113" spans="1:9" x14ac:dyDescent="0.3">
      <c r="A113" t="s">
        <v>468</v>
      </c>
      <c r="B113" s="2">
        <v>46257</v>
      </c>
      <c r="C113" t="s">
        <v>240</v>
      </c>
      <c r="D113" t="s">
        <v>34</v>
      </c>
      <c r="E113">
        <v>1470</v>
      </c>
      <c r="F113">
        <v>9.43</v>
      </c>
      <c r="G113">
        <v>1250</v>
      </c>
      <c r="H113" s="3">
        <v>0.85034013605442171</v>
      </c>
      <c r="I113" s="4">
        <v>132.5556733828208</v>
      </c>
    </row>
    <row r="114" spans="1:9" x14ac:dyDescent="0.3">
      <c r="A114" t="s">
        <v>470</v>
      </c>
      <c r="B114" s="2">
        <v>46236</v>
      </c>
      <c r="C114" t="s">
        <v>244</v>
      </c>
      <c r="D114" t="s">
        <v>34</v>
      </c>
      <c r="E114">
        <v>987</v>
      </c>
      <c r="F114">
        <v>5.82</v>
      </c>
      <c r="G114">
        <v>928</v>
      </c>
      <c r="H114" s="3">
        <v>0.94022289766970613</v>
      </c>
      <c r="I114" s="4">
        <v>159.45017182130584</v>
      </c>
    </row>
    <row r="115" spans="1:9" x14ac:dyDescent="0.3">
      <c r="A115" t="s">
        <v>472</v>
      </c>
      <c r="B115" s="2">
        <v>46079</v>
      </c>
      <c r="C115" t="s">
        <v>252</v>
      </c>
      <c r="D115" t="s">
        <v>34</v>
      </c>
      <c r="E115">
        <v>1112</v>
      </c>
      <c r="F115">
        <v>5.79</v>
      </c>
      <c r="G115">
        <v>1012</v>
      </c>
      <c r="H115" s="3">
        <v>0.91007194244604317</v>
      </c>
      <c r="I115" s="4">
        <v>174.78411053540586</v>
      </c>
    </row>
    <row r="116" spans="1:9" x14ac:dyDescent="0.3">
      <c r="A116" t="s">
        <v>474</v>
      </c>
      <c r="B116" s="2">
        <v>46346</v>
      </c>
      <c r="C116" t="s">
        <v>240</v>
      </c>
      <c r="D116" t="s">
        <v>29</v>
      </c>
      <c r="E116">
        <v>1205</v>
      </c>
      <c r="F116">
        <v>7.36</v>
      </c>
      <c r="G116">
        <v>1072</v>
      </c>
      <c r="H116" s="3">
        <v>0.88962655601659746</v>
      </c>
      <c r="I116" s="4">
        <v>145.65217391304347</v>
      </c>
    </row>
    <row r="117" spans="1:9" x14ac:dyDescent="0.3">
      <c r="A117" t="s">
        <v>476</v>
      </c>
      <c r="B117" s="2">
        <v>46290</v>
      </c>
      <c r="C117" t="s">
        <v>257</v>
      </c>
      <c r="D117" t="s">
        <v>37</v>
      </c>
      <c r="E117">
        <v>659</v>
      </c>
      <c r="F117">
        <v>5.29</v>
      </c>
      <c r="G117">
        <v>514</v>
      </c>
      <c r="H117" s="3">
        <v>0.77996965098634297</v>
      </c>
      <c r="I117" s="4">
        <v>97.16446124763705</v>
      </c>
    </row>
    <row r="118" spans="1:9" x14ac:dyDescent="0.3">
      <c r="A118" t="s">
        <v>478</v>
      </c>
      <c r="B118" s="2">
        <v>46130</v>
      </c>
      <c r="C118" t="s">
        <v>244</v>
      </c>
      <c r="D118" t="s">
        <v>34</v>
      </c>
      <c r="E118">
        <v>532</v>
      </c>
      <c r="F118">
        <v>3.29</v>
      </c>
      <c r="G118">
        <v>489</v>
      </c>
      <c r="H118" s="3">
        <v>0.91917293233082709</v>
      </c>
      <c r="I118" s="4">
        <v>148.63221884498481</v>
      </c>
    </row>
    <row r="119" spans="1:9" x14ac:dyDescent="0.3">
      <c r="A119" t="s">
        <v>480</v>
      </c>
      <c r="B119" s="2">
        <v>46079</v>
      </c>
      <c r="C119" t="s">
        <v>240</v>
      </c>
      <c r="D119" t="s">
        <v>37</v>
      </c>
      <c r="E119">
        <v>1125</v>
      </c>
      <c r="F119">
        <v>7.36</v>
      </c>
      <c r="G119">
        <v>945</v>
      </c>
      <c r="H119" s="3">
        <v>0.84</v>
      </c>
      <c r="I119" s="4">
        <v>128.39673913043478</v>
      </c>
    </row>
    <row r="120" spans="1:9" x14ac:dyDescent="0.3">
      <c r="A120" t="s">
        <v>482</v>
      </c>
      <c r="B120" s="2">
        <v>46260</v>
      </c>
      <c r="C120" t="s">
        <v>278</v>
      </c>
      <c r="D120" t="s">
        <v>29</v>
      </c>
      <c r="E120">
        <v>513</v>
      </c>
      <c r="F120">
        <v>2.92</v>
      </c>
      <c r="G120">
        <v>482</v>
      </c>
      <c r="H120" s="3">
        <v>0.93957115009746583</v>
      </c>
      <c r="I120" s="4">
        <v>165.06849315068493</v>
      </c>
    </row>
    <row r="121" spans="1:9" x14ac:dyDescent="0.3">
      <c r="A121" t="s">
        <v>484</v>
      </c>
      <c r="B121" s="2">
        <v>46165</v>
      </c>
      <c r="C121" t="s">
        <v>278</v>
      </c>
      <c r="D121" t="s">
        <v>34</v>
      </c>
      <c r="E121">
        <v>872</v>
      </c>
      <c r="F121">
        <v>5.07</v>
      </c>
      <c r="G121">
        <v>811</v>
      </c>
      <c r="H121" s="3">
        <v>0.93004587155963303</v>
      </c>
      <c r="I121" s="4">
        <v>159.96055226824456</v>
      </c>
    </row>
    <row r="122" spans="1:9" x14ac:dyDescent="0.3">
      <c r="A122" t="s">
        <v>486</v>
      </c>
      <c r="B122" s="2">
        <v>46041</v>
      </c>
      <c r="C122" t="s">
        <v>257</v>
      </c>
      <c r="D122" t="s">
        <v>32</v>
      </c>
      <c r="E122">
        <v>934</v>
      </c>
      <c r="F122">
        <v>7.44</v>
      </c>
      <c r="G122">
        <v>775</v>
      </c>
      <c r="H122" s="3">
        <v>0.82976445396145615</v>
      </c>
      <c r="I122" s="4">
        <v>104.16666666666666</v>
      </c>
    </row>
    <row r="123" spans="1:9" x14ac:dyDescent="0.3">
      <c r="A123" t="s">
        <v>488</v>
      </c>
      <c r="B123" s="2">
        <v>46213</v>
      </c>
      <c r="C123" t="s">
        <v>252</v>
      </c>
      <c r="D123" t="s">
        <v>29</v>
      </c>
      <c r="E123">
        <v>1139</v>
      </c>
      <c r="F123">
        <v>5.29</v>
      </c>
      <c r="G123">
        <v>1048</v>
      </c>
      <c r="H123" s="3">
        <v>0.9201053555750659</v>
      </c>
      <c r="I123" s="4">
        <v>198.10964083175804</v>
      </c>
    </row>
    <row r="124" spans="1:9" x14ac:dyDescent="0.3">
      <c r="A124" t="s">
        <v>490</v>
      </c>
      <c r="B124" s="2">
        <v>46026</v>
      </c>
      <c r="C124" t="s">
        <v>252</v>
      </c>
      <c r="D124" t="s">
        <v>26</v>
      </c>
      <c r="E124">
        <v>1121</v>
      </c>
      <c r="F124">
        <v>5.73</v>
      </c>
      <c r="G124">
        <v>1043</v>
      </c>
      <c r="H124" s="3">
        <v>0.93041926851025869</v>
      </c>
      <c r="I124" s="4">
        <v>182.02443280977312</v>
      </c>
    </row>
    <row r="125" spans="1:9" x14ac:dyDescent="0.3">
      <c r="A125" t="s">
        <v>492</v>
      </c>
      <c r="B125" s="2">
        <v>46370</v>
      </c>
      <c r="C125" t="s">
        <v>252</v>
      </c>
      <c r="D125" t="s">
        <v>32</v>
      </c>
      <c r="E125">
        <v>1140</v>
      </c>
      <c r="F125">
        <v>5.84</v>
      </c>
      <c r="G125">
        <v>1049</v>
      </c>
      <c r="H125" s="3">
        <v>0.9201754385964912</v>
      </c>
      <c r="I125" s="4">
        <v>179.62328767123287</v>
      </c>
    </row>
    <row r="126" spans="1:9" x14ac:dyDescent="0.3">
      <c r="A126" t="s">
        <v>494</v>
      </c>
      <c r="B126" s="2">
        <v>46034</v>
      </c>
      <c r="C126" t="s">
        <v>240</v>
      </c>
      <c r="D126" t="s">
        <v>29</v>
      </c>
      <c r="E126">
        <v>737</v>
      </c>
      <c r="F126">
        <v>4.38</v>
      </c>
      <c r="G126">
        <v>641</v>
      </c>
      <c r="H126" s="3">
        <v>0.86974219810040709</v>
      </c>
      <c r="I126" s="4">
        <v>146.34703196347033</v>
      </c>
    </row>
    <row r="127" spans="1:9" x14ac:dyDescent="0.3">
      <c r="A127" t="s">
        <v>496</v>
      </c>
      <c r="B127" s="2">
        <v>46101</v>
      </c>
      <c r="C127" t="s">
        <v>240</v>
      </c>
      <c r="D127" t="s">
        <v>34</v>
      </c>
      <c r="E127">
        <v>982</v>
      </c>
      <c r="F127">
        <v>6.57</v>
      </c>
      <c r="G127">
        <v>835</v>
      </c>
      <c r="H127" s="3">
        <v>0.85030549898167007</v>
      </c>
      <c r="I127" s="4">
        <v>127.09284627092846</v>
      </c>
    </row>
    <row r="128" spans="1:9" x14ac:dyDescent="0.3">
      <c r="A128" t="s">
        <v>498</v>
      </c>
      <c r="B128" s="2">
        <v>46249</v>
      </c>
      <c r="C128" t="s">
        <v>240</v>
      </c>
      <c r="D128" t="s">
        <v>34</v>
      </c>
      <c r="E128">
        <v>727</v>
      </c>
      <c r="F128">
        <v>5.04</v>
      </c>
      <c r="G128">
        <v>632</v>
      </c>
      <c r="H128" s="3">
        <v>0.86932599724896842</v>
      </c>
      <c r="I128" s="4">
        <v>125.39682539682539</v>
      </c>
    </row>
    <row r="129" spans="1:9" x14ac:dyDescent="0.3">
      <c r="A129" t="s">
        <v>500</v>
      </c>
      <c r="B129" s="2">
        <v>46133</v>
      </c>
      <c r="C129" t="s">
        <v>252</v>
      </c>
      <c r="D129" t="s">
        <v>34</v>
      </c>
      <c r="E129">
        <v>1371</v>
      </c>
      <c r="F129">
        <v>7</v>
      </c>
      <c r="G129">
        <v>1234</v>
      </c>
      <c r="H129" s="3">
        <v>0.90007293946024802</v>
      </c>
      <c r="I129" s="4">
        <v>176.28571428571428</v>
      </c>
    </row>
    <row r="130" spans="1:9" x14ac:dyDescent="0.3">
      <c r="A130" t="s">
        <v>502</v>
      </c>
      <c r="B130" s="2">
        <v>46284</v>
      </c>
      <c r="C130" t="s">
        <v>278</v>
      </c>
      <c r="D130" t="s">
        <v>26</v>
      </c>
      <c r="E130">
        <v>644</v>
      </c>
      <c r="F130">
        <v>3.44</v>
      </c>
      <c r="G130">
        <v>573</v>
      </c>
      <c r="H130" s="3">
        <v>0.88975155279503104</v>
      </c>
      <c r="I130" s="4">
        <v>166.56976744186048</v>
      </c>
    </row>
    <row r="131" spans="1:9" x14ac:dyDescent="0.3">
      <c r="A131" t="s">
        <v>504</v>
      </c>
      <c r="B131" s="2">
        <v>46272</v>
      </c>
      <c r="C131" t="s">
        <v>257</v>
      </c>
      <c r="D131" t="s">
        <v>34</v>
      </c>
      <c r="E131">
        <v>1200</v>
      </c>
      <c r="F131">
        <v>9.11</v>
      </c>
      <c r="G131">
        <v>1032</v>
      </c>
      <c r="H131" s="3">
        <v>0.86</v>
      </c>
      <c r="I131" s="4">
        <v>113.28210757409441</v>
      </c>
    </row>
    <row r="132" spans="1:9" x14ac:dyDescent="0.3">
      <c r="A132" t="s">
        <v>506</v>
      </c>
      <c r="B132" s="2">
        <v>46181</v>
      </c>
      <c r="C132" t="s">
        <v>278</v>
      </c>
      <c r="D132" t="s">
        <v>34</v>
      </c>
      <c r="E132">
        <v>674</v>
      </c>
      <c r="F132">
        <v>3.43</v>
      </c>
      <c r="G132">
        <v>600</v>
      </c>
      <c r="H132" s="3">
        <v>0.89020771513353114</v>
      </c>
      <c r="I132" s="4">
        <v>174.9271137026239</v>
      </c>
    </row>
    <row r="133" spans="1:9" x14ac:dyDescent="0.3">
      <c r="A133" t="s">
        <v>508</v>
      </c>
      <c r="B133" s="2">
        <v>46152</v>
      </c>
      <c r="C133" t="s">
        <v>244</v>
      </c>
      <c r="D133" t="s">
        <v>26</v>
      </c>
      <c r="E133">
        <v>1194</v>
      </c>
      <c r="F133">
        <v>6.54</v>
      </c>
      <c r="G133">
        <v>1039</v>
      </c>
      <c r="H133" s="3">
        <v>0.87018425460636517</v>
      </c>
      <c r="I133" s="4">
        <v>158.868501529052</v>
      </c>
    </row>
    <row r="134" spans="1:9" x14ac:dyDescent="0.3">
      <c r="A134" t="s">
        <v>510</v>
      </c>
      <c r="B134" s="2">
        <v>46066</v>
      </c>
      <c r="C134" t="s">
        <v>252</v>
      </c>
      <c r="D134" t="s">
        <v>32</v>
      </c>
      <c r="E134">
        <v>864</v>
      </c>
      <c r="F134">
        <v>4.5999999999999996</v>
      </c>
      <c r="G134">
        <v>795</v>
      </c>
      <c r="H134" s="3">
        <v>0.92013888888888884</v>
      </c>
      <c r="I134" s="4">
        <v>172.82608695652175</v>
      </c>
    </row>
    <row r="135" spans="1:9" x14ac:dyDescent="0.3">
      <c r="A135" t="s">
        <v>512</v>
      </c>
      <c r="B135" s="2">
        <v>46130</v>
      </c>
      <c r="C135" t="s">
        <v>252</v>
      </c>
      <c r="D135" t="s">
        <v>26</v>
      </c>
      <c r="E135">
        <v>1011</v>
      </c>
      <c r="F135">
        <v>5.21</v>
      </c>
      <c r="G135">
        <v>981</v>
      </c>
      <c r="H135" s="3">
        <v>0.97032640949554894</v>
      </c>
      <c r="I135" s="4">
        <v>188.29174664107487</v>
      </c>
    </row>
    <row r="136" spans="1:9" x14ac:dyDescent="0.3">
      <c r="A136" t="s">
        <v>514</v>
      </c>
      <c r="B136" s="2">
        <v>46071</v>
      </c>
      <c r="C136" t="s">
        <v>257</v>
      </c>
      <c r="D136" t="s">
        <v>37</v>
      </c>
      <c r="E136">
        <v>642</v>
      </c>
      <c r="F136">
        <v>5.16</v>
      </c>
      <c r="G136">
        <v>494</v>
      </c>
      <c r="H136" s="3">
        <v>0.76947040498442365</v>
      </c>
      <c r="I136" s="4">
        <v>95.736434108527135</v>
      </c>
    </row>
    <row r="137" spans="1:9" x14ac:dyDescent="0.3">
      <c r="A137" t="s">
        <v>516</v>
      </c>
      <c r="B137" s="2">
        <v>46171</v>
      </c>
      <c r="C137" t="s">
        <v>252</v>
      </c>
      <c r="D137" t="s">
        <v>26</v>
      </c>
      <c r="E137">
        <v>1042</v>
      </c>
      <c r="F137">
        <v>5.41</v>
      </c>
      <c r="G137">
        <v>1011</v>
      </c>
      <c r="H137" s="3">
        <v>0.97024952015355082</v>
      </c>
      <c r="I137" s="4">
        <v>186.87615526802219</v>
      </c>
    </row>
    <row r="138" spans="1:9" x14ac:dyDescent="0.3">
      <c r="A138" t="s">
        <v>518</v>
      </c>
      <c r="B138" s="2">
        <v>46224</v>
      </c>
      <c r="C138" t="s">
        <v>244</v>
      </c>
      <c r="D138" t="s">
        <v>37</v>
      </c>
      <c r="E138">
        <v>925</v>
      </c>
      <c r="F138">
        <v>4.92</v>
      </c>
      <c r="G138">
        <v>805</v>
      </c>
      <c r="H138" s="3">
        <v>0.87027027027027026</v>
      </c>
      <c r="I138" s="4">
        <v>163.6178861788618</v>
      </c>
    </row>
    <row r="139" spans="1:9" x14ac:dyDescent="0.3">
      <c r="A139" t="s">
        <v>520</v>
      </c>
      <c r="B139" s="2">
        <v>46223</v>
      </c>
      <c r="C139" t="s">
        <v>257</v>
      </c>
      <c r="D139" t="s">
        <v>32</v>
      </c>
      <c r="E139">
        <v>1006</v>
      </c>
      <c r="F139">
        <v>7.83</v>
      </c>
      <c r="G139">
        <v>795</v>
      </c>
      <c r="H139" s="3">
        <v>0.79025844930417499</v>
      </c>
      <c r="I139" s="4">
        <v>101.53256704980843</v>
      </c>
    </row>
    <row r="140" spans="1:9" x14ac:dyDescent="0.3">
      <c r="A140" t="s">
        <v>522</v>
      </c>
      <c r="B140" s="2">
        <v>46118</v>
      </c>
      <c r="C140" t="s">
        <v>244</v>
      </c>
      <c r="D140" t="s">
        <v>37</v>
      </c>
      <c r="E140">
        <v>767</v>
      </c>
      <c r="F140">
        <v>4.51</v>
      </c>
      <c r="G140">
        <v>721</v>
      </c>
      <c r="H140" s="3">
        <v>0.94002607561929596</v>
      </c>
      <c r="I140" s="4">
        <v>159.8669623059867</v>
      </c>
    </row>
    <row r="141" spans="1:9" x14ac:dyDescent="0.3">
      <c r="A141" t="s">
        <v>524</v>
      </c>
      <c r="B141" s="2">
        <v>46362</v>
      </c>
      <c r="C141" t="s">
        <v>257</v>
      </c>
      <c r="D141" t="s">
        <v>37</v>
      </c>
      <c r="E141">
        <v>1415</v>
      </c>
      <c r="F141">
        <v>10.3</v>
      </c>
      <c r="G141">
        <v>1118</v>
      </c>
      <c r="H141" s="3">
        <v>0.79010600706713785</v>
      </c>
      <c r="I141" s="4">
        <v>108.54368932038834</v>
      </c>
    </row>
    <row r="142" spans="1:9" x14ac:dyDescent="0.3">
      <c r="A142" t="s">
        <v>526</v>
      </c>
      <c r="B142" s="2">
        <v>46382</v>
      </c>
      <c r="C142" t="s">
        <v>278</v>
      </c>
      <c r="D142" t="s">
        <v>37</v>
      </c>
      <c r="E142">
        <v>873</v>
      </c>
      <c r="F142">
        <v>5.05</v>
      </c>
      <c r="G142">
        <v>821</v>
      </c>
      <c r="H142" s="3">
        <v>0.9404352806414662</v>
      </c>
      <c r="I142" s="4">
        <v>162.57425742574259</v>
      </c>
    </row>
    <row r="143" spans="1:9" x14ac:dyDescent="0.3">
      <c r="A143" t="s">
        <v>528</v>
      </c>
      <c r="B143" s="2">
        <v>46088</v>
      </c>
      <c r="C143" t="s">
        <v>257</v>
      </c>
      <c r="D143" t="s">
        <v>34</v>
      </c>
      <c r="E143">
        <v>1141</v>
      </c>
      <c r="F143">
        <v>8.56</v>
      </c>
      <c r="G143">
        <v>924</v>
      </c>
      <c r="H143" s="3">
        <v>0.80981595092024539</v>
      </c>
      <c r="I143" s="4">
        <v>107.94392523364485</v>
      </c>
    </row>
    <row r="144" spans="1:9" x14ac:dyDescent="0.3">
      <c r="A144" t="s">
        <v>530</v>
      </c>
      <c r="B144" s="2">
        <v>46048</v>
      </c>
      <c r="C144" t="s">
        <v>240</v>
      </c>
      <c r="D144" t="s">
        <v>29</v>
      </c>
      <c r="E144">
        <v>846</v>
      </c>
      <c r="F144">
        <v>5.09</v>
      </c>
      <c r="G144">
        <v>728</v>
      </c>
      <c r="H144" s="3">
        <v>0.86052009456264777</v>
      </c>
      <c r="I144" s="4">
        <v>143.02554027504911</v>
      </c>
    </row>
    <row r="145" spans="1:9" x14ac:dyDescent="0.3">
      <c r="A145" t="s">
        <v>532</v>
      </c>
      <c r="B145" s="2">
        <v>46023</v>
      </c>
      <c r="C145" t="s">
        <v>278</v>
      </c>
      <c r="D145" t="s">
        <v>29</v>
      </c>
      <c r="E145">
        <v>508</v>
      </c>
      <c r="F145">
        <v>2.95</v>
      </c>
      <c r="G145">
        <v>467</v>
      </c>
      <c r="H145" s="3">
        <v>0.9192913385826772</v>
      </c>
      <c r="I145" s="4">
        <v>158.30508474576271</v>
      </c>
    </row>
    <row r="146" spans="1:9" x14ac:dyDescent="0.3">
      <c r="A146" t="s">
        <v>534</v>
      </c>
      <c r="B146" s="2">
        <v>46345</v>
      </c>
      <c r="C146" t="s">
        <v>244</v>
      </c>
      <c r="D146" t="s">
        <v>34</v>
      </c>
      <c r="E146">
        <v>1018</v>
      </c>
      <c r="F146">
        <v>5.5</v>
      </c>
      <c r="G146">
        <v>926</v>
      </c>
      <c r="H146" s="3">
        <v>0.90962671905697445</v>
      </c>
      <c r="I146" s="4">
        <v>168.36363636363637</v>
      </c>
    </row>
    <row r="147" spans="1:9" x14ac:dyDescent="0.3">
      <c r="A147" t="s">
        <v>536</v>
      </c>
      <c r="B147" s="2">
        <v>46081</v>
      </c>
      <c r="C147" t="s">
        <v>244</v>
      </c>
      <c r="D147" t="s">
        <v>29</v>
      </c>
      <c r="E147">
        <v>602</v>
      </c>
      <c r="F147">
        <v>3.23</v>
      </c>
      <c r="G147">
        <v>536</v>
      </c>
      <c r="H147" s="3">
        <v>0.89036544850498334</v>
      </c>
      <c r="I147" s="4">
        <v>165.94427244582045</v>
      </c>
    </row>
    <row r="148" spans="1:9" x14ac:dyDescent="0.3">
      <c r="A148" t="s">
        <v>538</v>
      </c>
      <c r="B148" s="2">
        <v>46055</v>
      </c>
      <c r="C148" t="s">
        <v>252</v>
      </c>
      <c r="D148" t="s">
        <v>37</v>
      </c>
      <c r="E148">
        <v>761</v>
      </c>
      <c r="F148">
        <v>3.97</v>
      </c>
      <c r="G148">
        <v>738</v>
      </c>
      <c r="H148" s="3">
        <v>0.96977660972404733</v>
      </c>
      <c r="I148" s="4">
        <v>185.89420654911837</v>
      </c>
    </row>
    <row r="149" spans="1:9" x14ac:dyDescent="0.3">
      <c r="A149" t="s">
        <v>540</v>
      </c>
      <c r="B149" s="2">
        <v>46341</v>
      </c>
      <c r="C149" t="s">
        <v>240</v>
      </c>
      <c r="D149" t="s">
        <v>34</v>
      </c>
      <c r="E149">
        <v>1332</v>
      </c>
      <c r="F149">
        <v>8.5299999999999994</v>
      </c>
      <c r="G149">
        <v>1172</v>
      </c>
      <c r="H149" s="3">
        <v>0.87987987987987992</v>
      </c>
      <c r="I149" s="4">
        <v>137.39742086752639</v>
      </c>
    </row>
    <row r="150" spans="1:9" x14ac:dyDescent="0.3">
      <c r="A150" t="s">
        <v>542</v>
      </c>
      <c r="B150" s="2">
        <v>46283</v>
      </c>
      <c r="C150" t="s">
        <v>278</v>
      </c>
      <c r="D150" t="s">
        <v>32</v>
      </c>
      <c r="E150">
        <v>1495</v>
      </c>
      <c r="F150">
        <v>8.14</v>
      </c>
      <c r="G150">
        <v>1360</v>
      </c>
      <c r="H150" s="3">
        <v>0.90969899665551834</v>
      </c>
      <c r="I150" s="4">
        <v>167.07616707616705</v>
      </c>
    </row>
    <row r="151" spans="1:9" x14ac:dyDescent="0.3">
      <c r="A151" t="s">
        <v>544</v>
      </c>
      <c r="B151" s="2">
        <v>46046</v>
      </c>
      <c r="C151" t="s">
        <v>240</v>
      </c>
      <c r="D151" t="s">
        <v>34</v>
      </c>
      <c r="E151">
        <v>882</v>
      </c>
      <c r="F151">
        <v>5.9</v>
      </c>
      <c r="G151">
        <v>811</v>
      </c>
      <c r="H151" s="3">
        <v>0.91950113378684806</v>
      </c>
      <c r="I151" s="4">
        <v>137.45762711864407</v>
      </c>
    </row>
    <row r="152" spans="1:9" x14ac:dyDescent="0.3">
      <c r="A152" t="s">
        <v>546</v>
      </c>
      <c r="B152" s="2">
        <v>46265</v>
      </c>
      <c r="C152" t="s">
        <v>257</v>
      </c>
      <c r="D152" t="s">
        <v>26</v>
      </c>
      <c r="E152">
        <v>564</v>
      </c>
      <c r="F152">
        <v>4.12</v>
      </c>
      <c r="G152">
        <v>434</v>
      </c>
      <c r="H152" s="3">
        <v>0.76950354609929073</v>
      </c>
      <c r="I152" s="4">
        <v>105.33980582524272</v>
      </c>
    </row>
    <row r="153" spans="1:9" x14ac:dyDescent="0.3">
      <c r="A153" t="s">
        <v>548</v>
      </c>
      <c r="B153" s="2">
        <v>46300</v>
      </c>
      <c r="C153" t="s">
        <v>257</v>
      </c>
      <c r="D153" t="s">
        <v>37</v>
      </c>
      <c r="E153">
        <v>1279</v>
      </c>
      <c r="F153">
        <v>9.2799999999999994</v>
      </c>
      <c r="G153">
        <v>1023</v>
      </c>
      <c r="H153" s="3">
        <v>0.79984362783424545</v>
      </c>
      <c r="I153" s="4">
        <v>110.23706896551725</v>
      </c>
    </row>
    <row r="154" spans="1:9" x14ac:dyDescent="0.3">
      <c r="A154" t="s">
        <v>550</v>
      </c>
      <c r="B154" s="2">
        <v>46165</v>
      </c>
      <c r="C154" t="s">
        <v>252</v>
      </c>
      <c r="D154" t="s">
        <v>29</v>
      </c>
      <c r="E154">
        <v>829</v>
      </c>
      <c r="F154">
        <v>4.13</v>
      </c>
      <c r="G154">
        <v>771</v>
      </c>
      <c r="H154" s="3">
        <v>0.9300361881785284</v>
      </c>
      <c r="I154" s="4">
        <v>186.68280871670703</v>
      </c>
    </row>
    <row r="155" spans="1:9" x14ac:dyDescent="0.3">
      <c r="A155" t="s">
        <v>552</v>
      </c>
      <c r="B155" s="2">
        <v>46252</v>
      </c>
      <c r="C155" t="s">
        <v>240</v>
      </c>
      <c r="D155" t="s">
        <v>29</v>
      </c>
      <c r="E155">
        <v>560</v>
      </c>
      <c r="F155">
        <v>3.57</v>
      </c>
      <c r="G155">
        <v>515</v>
      </c>
      <c r="H155" s="3">
        <v>0.9196428571428571</v>
      </c>
      <c r="I155" s="4">
        <v>144.25770308123251</v>
      </c>
    </row>
    <row r="156" spans="1:9" x14ac:dyDescent="0.3">
      <c r="A156" t="s">
        <v>554</v>
      </c>
      <c r="B156" s="2">
        <v>46276</v>
      </c>
      <c r="C156" t="s">
        <v>244</v>
      </c>
      <c r="D156" t="s">
        <v>32</v>
      </c>
      <c r="E156">
        <v>1343</v>
      </c>
      <c r="F156">
        <v>7.62</v>
      </c>
      <c r="G156">
        <v>1209</v>
      </c>
      <c r="H156" s="3">
        <v>0.90022338049143713</v>
      </c>
      <c r="I156" s="4">
        <v>158.66141732283464</v>
      </c>
    </row>
    <row r="157" spans="1:9" x14ac:dyDescent="0.3">
      <c r="A157" t="s">
        <v>556</v>
      </c>
      <c r="B157" s="2">
        <v>46044</v>
      </c>
      <c r="C157" t="s">
        <v>240</v>
      </c>
      <c r="D157" t="s">
        <v>26</v>
      </c>
      <c r="E157">
        <v>680</v>
      </c>
      <c r="F157">
        <v>4.5599999999999996</v>
      </c>
      <c r="G157">
        <v>605</v>
      </c>
      <c r="H157" s="3">
        <v>0.88970588235294112</v>
      </c>
      <c r="I157" s="4">
        <v>132.67543859649123</v>
      </c>
    </row>
    <row r="158" spans="1:9" x14ac:dyDescent="0.3">
      <c r="A158" t="s">
        <v>558</v>
      </c>
      <c r="B158" s="2">
        <v>46023</v>
      </c>
      <c r="C158" t="s">
        <v>278</v>
      </c>
      <c r="D158" t="s">
        <v>26</v>
      </c>
      <c r="E158">
        <v>1474</v>
      </c>
      <c r="F158">
        <v>7.63</v>
      </c>
      <c r="G158">
        <v>1400</v>
      </c>
      <c r="H158" s="3">
        <v>0.94979647218453189</v>
      </c>
      <c r="I158" s="4">
        <v>183.48623853211009</v>
      </c>
    </row>
    <row r="159" spans="1:9" x14ac:dyDescent="0.3">
      <c r="A159" t="s">
        <v>560</v>
      </c>
      <c r="B159" s="2">
        <v>46179</v>
      </c>
      <c r="C159" t="s">
        <v>257</v>
      </c>
      <c r="D159" t="s">
        <v>34</v>
      </c>
      <c r="E159">
        <v>1175</v>
      </c>
      <c r="F159">
        <v>9.07</v>
      </c>
      <c r="G159">
        <v>870</v>
      </c>
      <c r="H159" s="3">
        <v>0.74042553191489358</v>
      </c>
      <c r="I159" s="4">
        <v>95.920617420066151</v>
      </c>
    </row>
    <row r="160" spans="1:9" x14ac:dyDescent="0.3">
      <c r="A160" t="s">
        <v>562</v>
      </c>
      <c r="B160" s="2">
        <v>46297</v>
      </c>
      <c r="C160" t="s">
        <v>278</v>
      </c>
      <c r="D160" t="s">
        <v>34</v>
      </c>
      <c r="E160">
        <v>987</v>
      </c>
      <c r="F160">
        <v>4.96</v>
      </c>
      <c r="G160">
        <v>918</v>
      </c>
      <c r="H160" s="3">
        <v>0.93009118541033431</v>
      </c>
      <c r="I160" s="4">
        <v>185.08064516129033</v>
      </c>
    </row>
    <row r="161" spans="1:9" x14ac:dyDescent="0.3">
      <c r="A161" t="s">
        <v>564</v>
      </c>
      <c r="B161" s="2">
        <v>46191</v>
      </c>
      <c r="C161" t="s">
        <v>257</v>
      </c>
      <c r="D161" t="s">
        <v>37</v>
      </c>
      <c r="E161">
        <v>918</v>
      </c>
      <c r="F161">
        <v>6.99</v>
      </c>
      <c r="G161">
        <v>753</v>
      </c>
      <c r="H161" s="3">
        <v>0.8202614379084967</v>
      </c>
      <c r="I161" s="4">
        <v>107.72532188841201</v>
      </c>
    </row>
    <row r="162" spans="1:9" x14ac:dyDescent="0.3">
      <c r="A162" t="s">
        <v>566</v>
      </c>
      <c r="B162" s="2">
        <v>46342</v>
      </c>
      <c r="C162" t="s">
        <v>252</v>
      </c>
      <c r="D162" t="s">
        <v>26</v>
      </c>
      <c r="E162">
        <v>999</v>
      </c>
      <c r="F162">
        <v>4.9400000000000004</v>
      </c>
      <c r="G162">
        <v>959</v>
      </c>
      <c r="H162" s="3">
        <v>0.95995995995995997</v>
      </c>
      <c r="I162" s="4">
        <v>194.12955465587044</v>
      </c>
    </row>
    <row r="163" spans="1:9" x14ac:dyDescent="0.3">
      <c r="A163" t="s">
        <v>568</v>
      </c>
      <c r="B163" s="2">
        <v>46308</v>
      </c>
      <c r="C163" t="s">
        <v>240</v>
      </c>
      <c r="D163" t="s">
        <v>26</v>
      </c>
      <c r="E163">
        <v>791</v>
      </c>
      <c r="F163">
        <v>4.99</v>
      </c>
      <c r="G163">
        <v>680</v>
      </c>
      <c r="H163" s="3">
        <v>0.85967130214917831</v>
      </c>
      <c r="I163" s="4">
        <v>136.27254509018036</v>
      </c>
    </row>
    <row r="164" spans="1:9" x14ac:dyDescent="0.3">
      <c r="A164" t="s">
        <v>570</v>
      </c>
      <c r="B164" s="2">
        <v>46157</v>
      </c>
      <c r="C164" t="s">
        <v>244</v>
      </c>
      <c r="D164" t="s">
        <v>32</v>
      </c>
      <c r="E164">
        <v>783</v>
      </c>
      <c r="F164">
        <v>4.88</v>
      </c>
      <c r="G164">
        <v>713</v>
      </c>
      <c r="H164" s="3">
        <v>0.91060025542784162</v>
      </c>
      <c r="I164" s="4">
        <v>146.10655737704917</v>
      </c>
    </row>
    <row r="165" spans="1:9" x14ac:dyDescent="0.3">
      <c r="A165" t="s">
        <v>572</v>
      </c>
      <c r="B165" s="2">
        <v>46369</v>
      </c>
      <c r="C165" t="s">
        <v>278</v>
      </c>
      <c r="D165" t="s">
        <v>34</v>
      </c>
      <c r="E165">
        <v>1204</v>
      </c>
      <c r="F165">
        <v>6.3</v>
      </c>
      <c r="G165">
        <v>1084</v>
      </c>
      <c r="H165" s="3">
        <v>0.90033222591362128</v>
      </c>
      <c r="I165" s="4">
        <v>172.06349206349208</v>
      </c>
    </row>
    <row r="166" spans="1:9" x14ac:dyDescent="0.3">
      <c r="A166" t="s">
        <v>574</v>
      </c>
      <c r="B166" s="2">
        <v>46068</v>
      </c>
      <c r="C166" t="s">
        <v>244</v>
      </c>
      <c r="D166" t="s">
        <v>29</v>
      </c>
      <c r="E166">
        <v>1023</v>
      </c>
      <c r="F166">
        <v>5.4</v>
      </c>
      <c r="G166">
        <v>910</v>
      </c>
      <c r="H166" s="3">
        <v>0.88954056695992179</v>
      </c>
      <c r="I166" s="4">
        <v>168.5185185185185</v>
      </c>
    </row>
    <row r="167" spans="1:9" x14ac:dyDescent="0.3">
      <c r="A167" t="s">
        <v>576</v>
      </c>
      <c r="B167" s="2">
        <v>46102</v>
      </c>
      <c r="C167" t="s">
        <v>257</v>
      </c>
      <c r="D167" t="s">
        <v>26</v>
      </c>
      <c r="E167">
        <v>1321</v>
      </c>
      <c r="F167">
        <v>10.029999999999999</v>
      </c>
      <c r="G167">
        <v>1030</v>
      </c>
      <c r="H167" s="3">
        <v>0.77971233913701743</v>
      </c>
      <c r="I167" s="4">
        <v>102.69192422731805</v>
      </c>
    </row>
    <row r="168" spans="1:9" x14ac:dyDescent="0.3">
      <c r="A168" t="s">
        <v>578</v>
      </c>
      <c r="B168" s="2">
        <v>46257</v>
      </c>
      <c r="C168" t="s">
        <v>244</v>
      </c>
      <c r="D168" t="s">
        <v>32</v>
      </c>
      <c r="E168">
        <v>1472</v>
      </c>
      <c r="F168">
        <v>8.16</v>
      </c>
      <c r="G168">
        <v>1325</v>
      </c>
      <c r="H168" s="3">
        <v>0.90013586956521741</v>
      </c>
      <c r="I168" s="4">
        <v>162.37745098039215</v>
      </c>
    </row>
    <row r="169" spans="1:9" x14ac:dyDescent="0.3">
      <c r="A169" t="s">
        <v>580</v>
      </c>
      <c r="B169" s="2">
        <v>46029</v>
      </c>
      <c r="C169" t="s">
        <v>244</v>
      </c>
      <c r="D169" t="s">
        <v>29</v>
      </c>
      <c r="E169">
        <v>1379</v>
      </c>
      <c r="F169">
        <v>7.89</v>
      </c>
      <c r="G169">
        <v>1214</v>
      </c>
      <c r="H169" s="3">
        <v>0.88034807831762152</v>
      </c>
      <c r="I169" s="4">
        <v>153.86565272496833</v>
      </c>
    </row>
    <row r="170" spans="1:9" x14ac:dyDescent="0.3">
      <c r="A170" t="s">
        <v>582</v>
      </c>
      <c r="B170" s="2">
        <v>46374</v>
      </c>
      <c r="C170" t="s">
        <v>278</v>
      </c>
      <c r="D170" t="s">
        <v>34</v>
      </c>
      <c r="E170">
        <v>570</v>
      </c>
      <c r="F170">
        <v>3.48</v>
      </c>
      <c r="G170">
        <v>519</v>
      </c>
      <c r="H170" s="3">
        <v>0.91052631578947374</v>
      </c>
      <c r="I170" s="4">
        <v>149.13793103448276</v>
      </c>
    </row>
    <row r="171" spans="1:9" x14ac:dyDescent="0.3">
      <c r="A171" t="s">
        <v>584</v>
      </c>
      <c r="B171" s="2">
        <v>46245</v>
      </c>
      <c r="C171" t="s">
        <v>257</v>
      </c>
      <c r="D171" t="s">
        <v>26</v>
      </c>
      <c r="E171">
        <v>738</v>
      </c>
      <c r="F171">
        <v>6.03</v>
      </c>
      <c r="G171">
        <v>539</v>
      </c>
      <c r="H171" s="3">
        <v>0.73035230352303526</v>
      </c>
      <c r="I171" s="4">
        <v>89.386401326699826</v>
      </c>
    </row>
    <row r="172" spans="1:9" x14ac:dyDescent="0.3">
      <c r="A172" t="s">
        <v>586</v>
      </c>
      <c r="B172" s="2">
        <v>46198</v>
      </c>
      <c r="C172" t="s">
        <v>278</v>
      </c>
      <c r="D172" t="s">
        <v>37</v>
      </c>
      <c r="E172">
        <v>717</v>
      </c>
      <c r="F172">
        <v>4.17</v>
      </c>
      <c r="G172">
        <v>652</v>
      </c>
      <c r="H172" s="3">
        <v>0.90934449093444913</v>
      </c>
      <c r="I172" s="4">
        <v>156.35491606714629</v>
      </c>
    </row>
    <row r="173" spans="1:9" x14ac:dyDescent="0.3">
      <c r="A173" t="s">
        <v>588</v>
      </c>
      <c r="B173" s="2">
        <v>46039</v>
      </c>
      <c r="C173" t="s">
        <v>240</v>
      </c>
      <c r="D173" t="s">
        <v>32</v>
      </c>
      <c r="E173">
        <v>575</v>
      </c>
      <c r="F173">
        <v>4.01</v>
      </c>
      <c r="G173">
        <v>518</v>
      </c>
      <c r="H173" s="3">
        <v>0.90086956521739125</v>
      </c>
      <c r="I173" s="4">
        <v>129.17705735660849</v>
      </c>
    </row>
    <row r="174" spans="1:9" x14ac:dyDescent="0.3">
      <c r="A174" t="s">
        <v>590</v>
      </c>
      <c r="B174" s="2">
        <v>46363</v>
      </c>
      <c r="C174" t="s">
        <v>252</v>
      </c>
      <c r="D174" t="s">
        <v>26</v>
      </c>
      <c r="E174">
        <v>1369</v>
      </c>
      <c r="F174">
        <v>6.98</v>
      </c>
      <c r="G174">
        <v>1232</v>
      </c>
      <c r="H174" s="3">
        <v>0.89992695398100808</v>
      </c>
      <c r="I174" s="4">
        <v>176.50429799426934</v>
      </c>
    </row>
    <row r="175" spans="1:9" x14ac:dyDescent="0.3">
      <c r="A175" t="s">
        <v>592</v>
      </c>
      <c r="B175" s="2">
        <v>46207</v>
      </c>
      <c r="C175" t="s">
        <v>257</v>
      </c>
      <c r="D175" t="s">
        <v>37</v>
      </c>
      <c r="E175">
        <v>1018</v>
      </c>
      <c r="F175">
        <v>7.65</v>
      </c>
      <c r="G175">
        <v>753</v>
      </c>
      <c r="H175" s="3">
        <v>0.73968565815324161</v>
      </c>
      <c r="I175" s="4">
        <v>98.431372549019599</v>
      </c>
    </row>
    <row r="176" spans="1:9" x14ac:dyDescent="0.3">
      <c r="A176" t="s">
        <v>594</v>
      </c>
      <c r="B176" s="2">
        <v>46139</v>
      </c>
      <c r="C176" t="s">
        <v>257</v>
      </c>
      <c r="D176" t="s">
        <v>29</v>
      </c>
      <c r="E176">
        <v>591</v>
      </c>
      <c r="F176">
        <v>4.26</v>
      </c>
      <c r="G176">
        <v>485</v>
      </c>
      <c r="H176" s="3">
        <v>0.82064297800338415</v>
      </c>
      <c r="I176" s="4">
        <v>113.84976525821597</v>
      </c>
    </row>
    <row r="177" spans="1:9" x14ac:dyDescent="0.3">
      <c r="A177" t="s">
        <v>596</v>
      </c>
      <c r="B177" s="2">
        <v>46308</v>
      </c>
      <c r="C177" t="s">
        <v>278</v>
      </c>
      <c r="D177" t="s">
        <v>32</v>
      </c>
      <c r="E177">
        <v>1148</v>
      </c>
      <c r="F177">
        <v>5.76</v>
      </c>
      <c r="G177">
        <v>1010</v>
      </c>
      <c r="H177" s="3">
        <v>0.87979094076655051</v>
      </c>
      <c r="I177" s="4">
        <v>175.34722222222223</v>
      </c>
    </row>
    <row r="178" spans="1:9" x14ac:dyDescent="0.3">
      <c r="A178" t="s">
        <v>598</v>
      </c>
      <c r="B178" s="2">
        <v>46271</v>
      </c>
      <c r="C178" t="s">
        <v>278</v>
      </c>
      <c r="D178" t="s">
        <v>34</v>
      </c>
      <c r="E178">
        <v>1047</v>
      </c>
      <c r="F178">
        <v>5.71</v>
      </c>
      <c r="G178">
        <v>963</v>
      </c>
      <c r="H178" s="3">
        <v>0.91977077363896853</v>
      </c>
      <c r="I178" s="4">
        <v>168.65148861646236</v>
      </c>
    </row>
    <row r="179" spans="1:9" x14ac:dyDescent="0.3">
      <c r="A179" t="s">
        <v>600</v>
      </c>
      <c r="B179" s="2">
        <v>46130</v>
      </c>
      <c r="C179" t="s">
        <v>278</v>
      </c>
      <c r="D179" t="s">
        <v>32</v>
      </c>
      <c r="E179">
        <v>1266</v>
      </c>
      <c r="F179">
        <v>6.43</v>
      </c>
      <c r="G179">
        <v>1127</v>
      </c>
      <c r="H179" s="3">
        <v>0.89020537124802523</v>
      </c>
      <c r="I179" s="4">
        <v>175.27216174183516</v>
      </c>
    </row>
    <row r="180" spans="1:9" x14ac:dyDescent="0.3">
      <c r="A180" t="s">
        <v>602</v>
      </c>
      <c r="B180" s="2">
        <v>46260</v>
      </c>
      <c r="C180" t="s">
        <v>244</v>
      </c>
      <c r="D180" t="s">
        <v>37</v>
      </c>
      <c r="E180">
        <v>1261</v>
      </c>
      <c r="F180">
        <v>6.91</v>
      </c>
      <c r="G180">
        <v>1185</v>
      </c>
      <c r="H180" s="3">
        <v>0.93973037272006343</v>
      </c>
      <c r="I180" s="4">
        <v>171.49059334298119</v>
      </c>
    </row>
    <row r="181" spans="1:9" x14ac:dyDescent="0.3">
      <c r="A181" t="s">
        <v>604</v>
      </c>
      <c r="B181" s="2">
        <v>46262</v>
      </c>
      <c r="C181" t="s">
        <v>257</v>
      </c>
      <c r="D181" t="s">
        <v>32</v>
      </c>
      <c r="E181">
        <v>1060</v>
      </c>
      <c r="F181">
        <v>7.79</v>
      </c>
      <c r="G181">
        <v>816</v>
      </c>
      <c r="H181" s="3">
        <v>0.76981132075471703</v>
      </c>
      <c r="I181" s="4">
        <v>104.74967907573813</v>
      </c>
    </row>
    <row r="182" spans="1:9" x14ac:dyDescent="0.3">
      <c r="A182" t="s">
        <v>606</v>
      </c>
      <c r="B182" s="2">
        <v>46342</v>
      </c>
      <c r="C182" t="s">
        <v>278</v>
      </c>
      <c r="D182" t="s">
        <v>32</v>
      </c>
      <c r="E182">
        <v>918</v>
      </c>
      <c r="F182">
        <v>5.23</v>
      </c>
      <c r="G182">
        <v>845</v>
      </c>
      <c r="H182" s="3">
        <v>0.920479302832244</v>
      </c>
      <c r="I182" s="4">
        <v>161.56787762906308</v>
      </c>
    </row>
    <row r="183" spans="1:9" x14ac:dyDescent="0.3">
      <c r="A183" t="s">
        <v>608</v>
      </c>
      <c r="B183" s="2">
        <v>46156</v>
      </c>
      <c r="C183" t="s">
        <v>240</v>
      </c>
      <c r="D183" t="s">
        <v>32</v>
      </c>
      <c r="E183">
        <v>1186</v>
      </c>
      <c r="F183">
        <v>7.03</v>
      </c>
      <c r="G183">
        <v>996</v>
      </c>
      <c r="H183" s="3">
        <v>0.8397976391231029</v>
      </c>
      <c r="I183" s="4">
        <v>141.67852062588904</v>
      </c>
    </row>
    <row r="184" spans="1:9" x14ac:dyDescent="0.3">
      <c r="A184" t="s">
        <v>610</v>
      </c>
      <c r="B184" s="2">
        <v>46336</v>
      </c>
      <c r="C184" t="s">
        <v>252</v>
      </c>
      <c r="D184" t="s">
        <v>34</v>
      </c>
      <c r="E184">
        <v>516</v>
      </c>
      <c r="F184">
        <v>2.37</v>
      </c>
      <c r="G184">
        <v>495</v>
      </c>
      <c r="H184" s="3">
        <v>0.95930232558139539</v>
      </c>
      <c r="I184" s="4">
        <v>208.86075949367088</v>
      </c>
    </row>
    <row r="185" spans="1:9" x14ac:dyDescent="0.3">
      <c r="A185" t="s">
        <v>612</v>
      </c>
      <c r="B185" s="2">
        <v>46101</v>
      </c>
      <c r="C185" t="s">
        <v>240</v>
      </c>
      <c r="D185" t="s">
        <v>34</v>
      </c>
      <c r="E185">
        <v>575</v>
      </c>
      <c r="F185">
        <v>4.12</v>
      </c>
      <c r="G185">
        <v>500</v>
      </c>
      <c r="H185" s="3">
        <v>0.86956521739130432</v>
      </c>
      <c r="I185" s="4">
        <v>121.35922330097087</v>
      </c>
    </row>
    <row r="186" spans="1:9" x14ac:dyDescent="0.3">
      <c r="A186" t="s">
        <v>614</v>
      </c>
      <c r="B186" s="2">
        <v>46029</v>
      </c>
      <c r="C186" t="s">
        <v>240</v>
      </c>
      <c r="D186" t="s">
        <v>29</v>
      </c>
      <c r="E186">
        <v>859</v>
      </c>
      <c r="F186">
        <v>5.31</v>
      </c>
      <c r="G186">
        <v>747</v>
      </c>
      <c r="H186" s="3">
        <v>0.86961583236321305</v>
      </c>
      <c r="I186" s="4">
        <v>140.67796610169492</v>
      </c>
    </row>
    <row r="187" spans="1:9" x14ac:dyDescent="0.3">
      <c r="A187" t="s">
        <v>616</v>
      </c>
      <c r="B187" s="2">
        <v>46385</v>
      </c>
      <c r="C187" t="s">
        <v>252</v>
      </c>
      <c r="D187" t="s">
        <v>26</v>
      </c>
      <c r="E187">
        <v>772</v>
      </c>
      <c r="F187">
        <v>3.68</v>
      </c>
      <c r="G187">
        <v>741</v>
      </c>
      <c r="H187" s="3">
        <v>0.9598445595854922</v>
      </c>
      <c r="I187" s="4">
        <v>201.35869565217391</v>
      </c>
    </row>
    <row r="188" spans="1:9" x14ac:dyDescent="0.3">
      <c r="A188" t="s">
        <v>618</v>
      </c>
      <c r="B188" s="2">
        <v>46371</v>
      </c>
      <c r="C188" t="s">
        <v>257</v>
      </c>
      <c r="D188" t="s">
        <v>34</v>
      </c>
      <c r="E188">
        <v>840</v>
      </c>
      <c r="F188">
        <v>6.75</v>
      </c>
      <c r="G188">
        <v>714</v>
      </c>
      <c r="H188" s="3">
        <v>0.85</v>
      </c>
      <c r="I188" s="4">
        <v>105.77777777777777</v>
      </c>
    </row>
    <row r="189" spans="1:9" x14ac:dyDescent="0.3">
      <c r="A189" t="s">
        <v>620</v>
      </c>
      <c r="B189" s="2">
        <v>46047</v>
      </c>
      <c r="C189" t="s">
        <v>244</v>
      </c>
      <c r="D189" t="s">
        <v>26</v>
      </c>
      <c r="E189">
        <v>672</v>
      </c>
      <c r="F189">
        <v>3.82</v>
      </c>
      <c r="G189">
        <v>612</v>
      </c>
      <c r="H189" s="3">
        <v>0.9107142857142857</v>
      </c>
      <c r="I189" s="4">
        <v>160.20942408376965</v>
      </c>
    </row>
    <row r="190" spans="1:9" x14ac:dyDescent="0.3">
      <c r="A190" t="s">
        <v>622</v>
      </c>
      <c r="B190" s="2">
        <v>46132</v>
      </c>
      <c r="C190" t="s">
        <v>244</v>
      </c>
      <c r="D190" t="s">
        <v>26</v>
      </c>
      <c r="E190">
        <v>643</v>
      </c>
      <c r="F190">
        <v>4.05</v>
      </c>
      <c r="G190">
        <v>592</v>
      </c>
      <c r="H190" s="3">
        <v>0.92068429237947125</v>
      </c>
      <c r="I190" s="4">
        <v>146.17283950617283</v>
      </c>
    </row>
    <row r="191" spans="1:9" x14ac:dyDescent="0.3">
      <c r="A191" t="s">
        <v>624</v>
      </c>
      <c r="B191" s="2">
        <v>46186</v>
      </c>
      <c r="C191" t="s">
        <v>278</v>
      </c>
      <c r="D191" t="s">
        <v>26</v>
      </c>
      <c r="E191">
        <v>1048</v>
      </c>
      <c r="F191">
        <v>5.67</v>
      </c>
      <c r="G191">
        <v>943</v>
      </c>
      <c r="H191" s="3">
        <v>0.89980916030534353</v>
      </c>
      <c r="I191" s="4">
        <v>166.31393298059965</v>
      </c>
    </row>
    <row r="192" spans="1:9" x14ac:dyDescent="0.3">
      <c r="A192" t="s">
        <v>626</v>
      </c>
      <c r="B192" s="2">
        <v>46252</v>
      </c>
      <c r="C192" t="s">
        <v>252</v>
      </c>
      <c r="D192" t="s">
        <v>37</v>
      </c>
      <c r="E192">
        <v>1345</v>
      </c>
      <c r="F192">
        <v>6.14</v>
      </c>
      <c r="G192">
        <v>1224</v>
      </c>
      <c r="H192" s="3">
        <v>0.91003717472118961</v>
      </c>
      <c r="I192" s="4">
        <v>199.34853420195441</v>
      </c>
    </row>
    <row r="193" spans="1:9" x14ac:dyDescent="0.3">
      <c r="A193" t="s">
        <v>628</v>
      </c>
      <c r="B193" s="2">
        <v>46113</v>
      </c>
      <c r="C193" t="s">
        <v>257</v>
      </c>
      <c r="D193" t="s">
        <v>34</v>
      </c>
      <c r="E193">
        <v>545</v>
      </c>
      <c r="F193">
        <v>4.5999999999999996</v>
      </c>
      <c r="G193">
        <v>425</v>
      </c>
      <c r="H193" s="3">
        <v>0.77981651376146788</v>
      </c>
      <c r="I193" s="4">
        <v>92.391304347826093</v>
      </c>
    </row>
    <row r="194" spans="1:9" x14ac:dyDescent="0.3">
      <c r="A194" t="s">
        <v>630</v>
      </c>
      <c r="B194" s="2">
        <v>46304</v>
      </c>
      <c r="C194" t="s">
        <v>252</v>
      </c>
      <c r="D194" t="s">
        <v>26</v>
      </c>
      <c r="E194">
        <v>988</v>
      </c>
      <c r="F194">
        <v>4.8600000000000003</v>
      </c>
      <c r="G194">
        <v>948</v>
      </c>
      <c r="H194" s="3">
        <v>0.95951417004048578</v>
      </c>
      <c r="I194" s="4">
        <v>195.06172839506172</v>
      </c>
    </row>
    <row r="195" spans="1:9" x14ac:dyDescent="0.3">
      <c r="A195" t="s">
        <v>632</v>
      </c>
      <c r="B195" s="2">
        <v>46358</v>
      </c>
      <c r="C195" t="s">
        <v>257</v>
      </c>
      <c r="D195" t="s">
        <v>32</v>
      </c>
      <c r="E195">
        <v>1240</v>
      </c>
      <c r="F195">
        <v>9.36</v>
      </c>
      <c r="G195">
        <v>918</v>
      </c>
      <c r="H195" s="3">
        <v>0.74032258064516132</v>
      </c>
      <c r="I195" s="4">
        <v>98.07692307692308</v>
      </c>
    </row>
    <row r="196" spans="1:9" x14ac:dyDescent="0.3">
      <c r="A196" t="s">
        <v>634</v>
      </c>
      <c r="B196" s="2">
        <v>46351</v>
      </c>
      <c r="C196" t="s">
        <v>278</v>
      </c>
      <c r="D196" t="s">
        <v>29</v>
      </c>
      <c r="E196">
        <v>612</v>
      </c>
      <c r="F196">
        <v>3.86</v>
      </c>
      <c r="G196">
        <v>557</v>
      </c>
      <c r="H196" s="3">
        <v>0.91013071895424835</v>
      </c>
      <c r="I196" s="4">
        <v>144.30051813471502</v>
      </c>
    </row>
    <row r="197" spans="1:9" x14ac:dyDescent="0.3">
      <c r="A197" t="s">
        <v>636</v>
      </c>
      <c r="B197" s="2">
        <v>46206</v>
      </c>
      <c r="C197" t="s">
        <v>252</v>
      </c>
      <c r="D197" t="s">
        <v>34</v>
      </c>
      <c r="E197">
        <v>766</v>
      </c>
      <c r="F197">
        <v>3.66</v>
      </c>
      <c r="G197">
        <v>705</v>
      </c>
      <c r="H197" s="3">
        <v>0.92036553524804177</v>
      </c>
      <c r="I197" s="4">
        <v>192.62295081967213</v>
      </c>
    </row>
    <row r="198" spans="1:9" x14ac:dyDescent="0.3">
      <c r="A198" t="s">
        <v>638</v>
      </c>
      <c r="B198" s="2">
        <v>46201</v>
      </c>
      <c r="C198" t="s">
        <v>240</v>
      </c>
      <c r="D198" t="s">
        <v>29</v>
      </c>
      <c r="E198">
        <v>1043</v>
      </c>
      <c r="F198">
        <v>6.89</v>
      </c>
      <c r="G198">
        <v>907</v>
      </c>
      <c r="H198" s="3">
        <v>0.86960690316395017</v>
      </c>
      <c r="I198" s="4">
        <v>131.64005805515239</v>
      </c>
    </row>
    <row r="199" spans="1:9" x14ac:dyDescent="0.3">
      <c r="A199" t="s">
        <v>640</v>
      </c>
      <c r="B199" s="2">
        <v>46034</v>
      </c>
      <c r="C199" t="s">
        <v>257</v>
      </c>
      <c r="D199" t="s">
        <v>26</v>
      </c>
      <c r="E199">
        <v>890</v>
      </c>
      <c r="F199">
        <v>6.97</v>
      </c>
      <c r="G199">
        <v>721</v>
      </c>
      <c r="H199" s="3">
        <v>0.81011235955056182</v>
      </c>
      <c r="I199" s="4">
        <v>103.44332855093258</v>
      </c>
    </row>
    <row r="200" spans="1:9" x14ac:dyDescent="0.3">
      <c r="A200" t="s">
        <v>642</v>
      </c>
      <c r="B200" s="2">
        <v>46115</v>
      </c>
      <c r="C200" t="s">
        <v>252</v>
      </c>
      <c r="D200" t="s">
        <v>26</v>
      </c>
      <c r="E200">
        <v>726</v>
      </c>
      <c r="F200">
        <v>3.58</v>
      </c>
      <c r="G200">
        <v>697</v>
      </c>
      <c r="H200" s="3">
        <v>0.96005509641873277</v>
      </c>
      <c r="I200" s="4">
        <v>194.6927374301676</v>
      </c>
    </row>
    <row r="201" spans="1:9" x14ac:dyDescent="0.3">
      <c r="A201" t="s">
        <v>644</v>
      </c>
      <c r="B201" s="2">
        <v>46295</v>
      </c>
      <c r="C201" t="s">
        <v>278</v>
      </c>
      <c r="D201" t="s">
        <v>29</v>
      </c>
      <c r="E201">
        <v>1417</v>
      </c>
      <c r="F201">
        <v>7.51</v>
      </c>
      <c r="G201">
        <v>1332</v>
      </c>
      <c r="H201" s="3">
        <v>0.94001411432604098</v>
      </c>
      <c r="I201" s="4">
        <v>177.36351531291612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4574B-936C-4672-9987-522D1B0BB1A4}">
  <dimension ref="A1:F201"/>
  <sheetViews>
    <sheetView workbookViewId="0">
      <selection activeCell="A8" sqref="A8"/>
    </sheetView>
  </sheetViews>
  <sheetFormatPr defaultColWidth="26.6640625" defaultRowHeight="14.4" x14ac:dyDescent="0.3"/>
  <sheetData>
    <row r="1" spans="1:6" x14ac:dyDescent="0.3">
      <c r="A1" t="s">
        <v>17</v>
      </c>
      <c r="B1" t="s">
        <v>9</v>
      </c>
      <c r="C1" t="s">
        <v>5</v>
      </c>
      <c r="D1" t="s">
        <v>18</v>
      </c>
      <c r="E1" t="s">
        <v>19</v>
      </c>
      <c r="F1" t="s">
        <v>20</v>
      </c>
    </row>
    <row r="2" spans="1:6" x14ac:dyDescent="0.3">
      <c r="A2" t="s">
        <v>238</v>
      </c>
      <c r="B2" t="s">
        <v>239</v>
      </c>
      <c r="C2" t="s">
        <v>240</v>
      </c>
      <c r="D2" s="3">
        <v>7.3999999999999996E-2</v>
      </c>
      <c r="E2">
        <v>126</v>
      </c>
      <c r="F2" t="s">
        <v>241</v>
      </c>
    </row>
    <row r="3" spans="1:6" x14ac:dyDescent="0.3">
      <c r="A3" t="s">
        <v>242</v>
      </c>
      <c r="B3" t="s">
        <v>243</v>
      </c>
      <c r="C3" t="s">
        <v>244</v>
      </c>
      <c r="D3" s="3">
        <v>3.7999999999999999E-2</v>
      </c>
      <c r="E3">
        <v>36</v>
      </c>
      <c r="F3" t="s">
        <v>245</v>
      </c>
    </row>
    <row r="4" spans="1:6" x14ac:dyDescent="0.3">
      <c r="A4" t="s">
        <v>246</v>
      </c>
      <c r="B4" t="s">
        <v>247</v>
      </c>
      <c r="C4" t="s">
        <v>240</v>
      </c>
      <c r="D4" s="3">
        <v>4.7E-2</v>
      </c>
      <c r="E4">
        <v>130</v>
      </c>
      <c r="F4" t="s">
        <v>245</v>
      </c>
    </row>
    <row r="5" spans="1:6" x14ac:dyDescent="0.3">
      <c r="A5" t="s">
        <v>248</v>
      </c>
      <c r="B5" t="s">
        <v>249</v>
      </c>
      <c r="C5" t="s">
        <v>244</v>
      </c>
      <c r="D5" s="3">
        <v>4.9000000000000002E-2</v>
      </c>
      <c r="E5">
        <v>127</v>
      </c>
      <c r="F5" t="s">
        <v>245</v>
      </c>
    </row>
    <row r="6" spans="1:6" x14ac:dyDescent="0.3">
      <c r="A6" t="s">
        <v>250</v>
      </c>
      <c r="B6" t="s">
        <v>251</v>
      </c>
      <c r="C6" t="s">
        <v>252</v>
      </c>
      <c r="D6" s="3">
        <v>4.5999999999999999E-2</v>
      </c>
      <c r="E6">
        <v>36</v>
      </c>
      <c r="F6" t="s">
        <v>245</v>
      </c>
    </row>
    <row r="7" spans="1:6" x14ac:dyDescent="0.3">
      <c r="A7" t="s">
        <v>253</v>
      </c>
      <c r="B7" t="s">
        <v>254</v>
      </c>
      <c r="C7" t="s">
        <v>252</v>
      </c>
      <c r="D7" s="3">
        <v>2.8000000000000001E-2</v>
      </c>
      <c r="E7">
        <v>81</v>
      </c>
      <c r="F7" t="s">
        <v>245</v>
      </c>
    </row>
    <row r="8" spans="1:6" x14ac:dyDescent="0.3">
      <c r="A8" t="s">
        <v>255</v>
      </c>
      <c r="B8" t="s">
        <v>256</v>
      </c>
      <c r="C8" t="s">
        <v>257</v>
      </c>
      <c r="D8" s="3">
        <v>6.8000000000000005E-2</v>
      </c>
      <c r="E8">
        <v>86</v>
      </c>
      <c r="F8" t="s">
        <v>245</v>
      </c>
    </row>
    <row r="9" spans="1:6" x14ac:dyDescent="0.3">
      <c r="A9" t="s">
        <v>258</v>
      </c>
      <c r="B9" t="s">
        <v>259</v>
      </c>
      <c r="C9" t="s">
        <v>240</v>
      </c>
      <c r="D9" s="3">
        <v>4.2000000000000003E-2</v>
      </c>
      <c r="E9">
        <v>95</v>
      </c>
      <c r="F9" t="s">
        <v>245</v>
      </c>
    </row>
    <row r="10" spans="1:6" x14ac:dyDescent="0.3">
      <c r="A10" t="s">
        <v>260</v>
      </c>
      <c r="B10" t="s">
        <v>261</v>
      </c>
      <c r="C10" t="s">
        <v>257</v>
      </c>
      <c r="D10" s="3">
        <v>0.127</v>
      </c>
      <c r="E10">
        <v>148</v>
      </c>
      <c r="F10" t="s">
        <v>241</v>
      </c>
    </row>
    <row r="11" spans="1:6" x14ac:dyDescent="0.3">
      <c r="A11" t="s">
        <v>262</v>
      </c>
      <c r="B11" t="s">
        <v>263</v>
      </c>
      <c r="C11" t="s">
        <v>244</v>
      </c>
      <c r="D11" s="3">
        <v>7.0000000000000007E-2</v>
      </c>
      <c r="E11">
        <v>54</v>
      </c>
      <c r="F11" t="s">
        <v>245</v>
      </c>
    </row>
    <row r="12" spans="1:6" x14ac:dyDescent="0.3">
      <c r="A12" t="s">
        <v>264</v>
      </c>
      <c r="B12" t="s">
        <v>265</v>
      </c>
      <c r="C12" t="s">
        <v>257</v>
      </c>
      <c r="D12" s="3">
        <v>8.4000000000000005E-2</v>
      </c>
      <c r="E12">
        <v>146</v>
      </c>
      <c r="F12" t="s">
        <v>241</v>
      </c>
    </row>
    <row r="13" spans="1:6" x14ac:dyDescent="0.3">
      <c r="A13" t="s">
        <v>266</v>
      </c>
      <c r="B13" t="s">
        <v>267</v>
      </c>
      <c r="C13" t="s">
        <v>252</v>
      </c>
      <c r="D13" s="3">
        <v>3.9E-2</v>
      </c>
      <c r="E13">
        <v>17</v>
      </c>
      <c r="F13" t="s">
        <v>245</v>
      </c>
    </row>
    <row r="14" spans="1:6" x14ac:dyDescent="0.3">
      <c r="A14" t="s">
        <v>268</v>
      </c>
      <c r="B14" t="s">
        <v>269</v>
      </c>
      <c r="C14" t="s">
        <v>240</v>
      </c>
      <c r="D14" s="3">
        <v>4.7E-2</v>
      </c>
      <c r="E14">
        <v>89</v>
      </c>
      <c r="F14" t="s">
        <v>245</v>
      </c>
    </row>
    <row r="15" spans="1:6" x14ac:dyDescent="0.3">
      <c r="A15" t="s">
        <v>270</v>
      </c>
      <c r="B15" t="s">
        <v>271</v>
      </c>
      <c r="C15" t="s">
        <v>244</v>
      </c>
      <c r="D15" s="3">
        <v>3.6999999999999998E-2</v>
      </c>
      <c r="E15">
        <v>133</v>
      </c>
      <c r="F15" t="s">
        <v>245</v>
      </c>
    </row>
    <row r="16" spans="1:6" x14ac:dyDescent="0.3">
      <c r="A16" t="s">
        <v>272</v>
      </c>
      <c r="B16" t="s">
        <v>273</v>
      </c>
      <c r="C16" t="s">
        <v>244</v>
      </c>
      <c r="D16" s="3">
        <v>4.4999999999999998E-2</v>
      </c>
      <c r="E16">
        <v>98</v>
      </c>
      <c r="F16" t="s">
        <v>245</v>
      </c>
    </row>
    <row r="17" spans="1:6" x14ac:dyDescent="0.3">
      <c r="A17" t="s">
        <v>274</v>
      </c>
      <c r="B17" t="s">
        <v>275</v>
      </c>
      <c r="C17" t="s">
        <v>257</v>
      </c>
      <c r="D17" s="3">
        <v>0.126</v>
      </c>
      <c r="E17">
        <v>268</v>
      </c>
      <c r="F17" t="s">
        <v>241</v>
      </c>
    </row>
    <row r="18" spans="1:6" x14ac:dyDescent="0.3">
      <c r="A18" t="s">
        <v>276</v>
      </c>
      <c r="B18" t="s">
        <v>277</v>
      </c>
      <c r="C18" t="s">
        <v>278</v>
      </c>
      <c r="D18" s="3">
        <v>1.7999999999999999E-2</v>
      </c>
      <c r="E18">
        <v>63</v>
      </c>
      <c r="F18" t="s">
        <v>245</v>
      </c>
    </row>
    <row r="19" spans="1:6" x14ac:dyDescent="0.3">
      <c r="A19" t="s">
        <v>279</v>
      </c>
      <c r="B19" t="s">
        <v>280</v>
      </c>
      <c r="C19" t="s">
        <v>244</v>
      </c>
      <c r="D19" s="3">
        <v>6.3E-2</v>
      </c>
      <c r="E19">
        <v>50</v>
      </c>
      <c r="F19" t="s">
        <v>245</v>
      </c>
    </row>
    <row r="20" spans="1:6" x14ac:dyDescent="0.3">
      <c r="A20" t="s">
        <v>281</v>
      </c>
      <c r="B20" t="s">
        <v>282</v>
      </c>
      <c r="C20" t="s">
        <v>252</v>
      </c>
      <c r="D20" s="3">
        <v>4.7E-2</v>
      </c>
      <c r="E20">
        <v>68</v>
      </c>
      <c r="F20" t="s">
        <v>245</v>
      </c>
    </row>
    <row r="21" spans="1:6" x14ac:dyDescent="0.3">
      <c r="A21" t="s">
        <v>283</v>
      </c>
      <c r="B21" t="s">
        <v>284</v>
      </c>
      <c r="C21" t="s">
        <v>257</v>
      </c>
      <c r="D21" s="3">
        <v>0.10299999999999999</v>
      </c>
      <c r="E21">
        <v>293</v>
      </c>
      <c r="F21" t="s">
        <v>241</v>
      </c>
    </row>
    <row r="22" spans="1:6" x14ac:dyDescent="0.3">
      <c r="A22" t="s">
        <v>285</v>
      </c>
      <c r="B22" t="s">
        <v>286</v>
      </c>
      <c r="C22" t="s">
        <v>278</v>
      </c>
      <c r="D22" s="3">
        <v>0.03</v>
      </c>
      <c r="E22">
        <v>138</v>
      </c>
      <c r="F22" t="s">
        <v>245</v>
      </c>
    </row>
    <row r="23" spans="1:6" x14ac:dyDescent="0.3">
      <c r="A23" t="s">
        <v>287</v>
      </c>
      <c r="B23" t="s">
        <v>288</v>
      </c>
      <c r="C23" t="s">
        <v>244</v>
      </c>
      <c r="D23" s="3">
        <v>4.2999999999999997E-2</v>
      </c>
      <c r="E23">
        <v>55</v>
      </c>
      <c r="F23" t="s">
        <v>245</v>
      </c>
    </row>
    <row r="24" spans="1:6" x14ac:dyDescent="0.3">
      <c r="A24" t="s">
        <v>289</v>
      </c>
      <c r="B24" t="s">
        <v>290</v>
      </c>
      <c r="C24" t="s">
        <v>244</v>
      </c>
      <c r="D24" s="3">
        <v>4.9000000000000002E-2</v>
      </c>
      <c r="E24">
        <v>110</v>
      </c>
      <c r="F24" t="s">
        <v>245</v>
      </c>
    </row>
    <row r="25" spans="1:6" x14ac:dyDescent="0.3">
      <c r="A25" t="s">
        <v>291</v>
      </c>
      <c r="B25" t="s">
        <v>292</v>
      </c>
      <c r="C25" t="s">
        <v>278</v>
      </c>
      <c r="D25" s="3">
        <v>4.3999999999999997E-2</v>
      </c>
      <c r="E25">
        <v>61</v>
      </c>
      <c r="F25" t="s">
        <v>245</v>
      </c>
    </row>
    <row r="26" spans="1:6" x14ac:dyDescent="0.3">
      <c r="A26" t="s">
        <v>293</v>
      </c>
      <c r="B26" t="s">
        <v>294</v>
      </c>
      <c r="C26" t="s">
        <v>252</v>
      </c>
      <c r="D26" s="3">
        <v>2.5999999999999999E-2</v>
      </c>
      <c r="E26">
        <v>42</v>
      </c>
      <c r="F26" t="s">
        <v>245</v>
      </c>
    </row>
    <row r="27" spans="1:6" x14ac:dyDescent="0.3">
      <c r="A27" t="s">
        <v>295</v>
      </c>
      <c r="B27" t="s">
        <v>296</v>
      </c>
      <c r="C27" t="s">
        <v>252</v>
      </c>
      <c r="D27" s="3">
        <v>0.03</v>
      </c>
      <c r="E27">
        <v>78</v>
      </c>
      <c r="F27" t="s">
        <v>245</v>
      </c>
    </row>
    <row r="28" spans="1:6" x14ac:dyDescent="0.3">
      <c r="A28" t="s">
        <v>297</v>
      </c>
      <c r="B28" t="s">
        <v>298</v>
      </c>
      <c r="C28" t="s">
        <v>252</v>
      </c>
      <c r="D28" s="3">
        <v>0.02</v>
      </c>
      <c r="E28">
        <v>97</v>
      </c>
      <c r="F28" t="s">
        <v>245</v>
      </c>
    </row>
    <row r="29" spans="1:6" x14ac:dyDescent="0.3">
      <c r="A29" t="s">
        <v>299</v>
      </c>
      <c r="B29" t="s">
        <v>300</v>
      </c>
      <c r="C29" t="s">
        <v>244</v>
      </c>
      <c r="D29" s="3">
        <v>4.9000000000000002E-2</v>
      </c>
      <c r="E29">
        <v>178</v>
      </c>
      <c r="F29" t="s">
        <v>245</v>
      </c>
    </row>
    <row r="30" spans="1:6" x14ac:dyDescent="0.3">
      <c r="A30" t="s">
        <v>301</v>
      </c>
      <c r="B30" t="s">
        <v>302</v>
      </c>
      <c r="C30" t="s">
        <v>240</v>
      </c>
      <c r="D30" s="3">
        <v>4.2999999999999997E-2</v>
      </c>
      <c r="E30">
        <v>139</v>
      </c>
      <c r="F30" t="s">
        <v>245</v>
      </c>
    </row>
    <row r="31" spans="1:6" x14ac:dyDescent="0.3">
      <c r="A31" t="s">
        <v>303</v>
      </c>
      <c r="B31" t="s">
        <v>304</v>
      </c>
      <c r="C31" t="s">
        <v>278</v>
      </c>
      <c r="D31" s="3">
        <v>2.8000000000000001E-2</v>
      </c>
      <c r="E31">
        <v>153</v>
      </c>
      <c r="F31" t="s">
        <v>245</v>
      </c>
    </row>
    <row r="32" spans="1:6" x14ac:dyDescent="0.3">
      <c r="A32" t="s">
        <v>305</v>
      </c>
      <c r="B32" t="s">
        <v>306</v>
      </c>
      <c r="C32" t="s">
        <v>257</v>
      </c>
      <c r="D32" s="3">
        <v>6.3E-2</v>
      </c>
      <c r="E32">
        <v>189</v>
      </c>
      <c r="F32" t="s">
        <v>245</v>
      </c>
    </row>
    <row r="33" spans="1:6" x14ac:dyDescent="0.3">
      <c r="A33" t="s">
        <v>307</v>
      </c>
      <c r="B33" t="s">
        <v>308</v>
      </c>
      <c r="C33" t="s">
        <v>240</v>
      </c>
      <c r="D33" s="3">
        <v>7.3999999999999996E-2</v>
      </c>
      <c r="E33">
        <v>141</v>
      </c>
      <c r="F33" t="s">
        <v>241</v>
      </c>
    </row>
    <row r="34" spans="1:6" x14ac:dyDescent="0.3">
      <c r="A34" t="s">
        <v>309</v>
      </c>
      <c r="B34" t="s">
        <v>310</v>
      </c>
      <c r="C34" t="s">
        <v>244</v>
      </c>
      <c r="D34" s="3">
        <v>3.3000000000000002E-2</v>
      </c>
      <c r="E34">
        <v>179</v>
      </c>
      <c r="F34" t="s">
        <v>245</v>
      </c>
    </row>
    <row r="35" spans="1:6" x14ac:dyDescent="0.3">
      <c r="A35" t="s">
        <v>311</v>
      </c>
      <c r="B35" t="s">
        <v>312</v>
      </c>
      <c r="C35" t="s">
        <v>240</v>
      </c>
      <c r="D35" s="3">
        <v>2.1999999999999999E-2</v>
      </c>
      <c r="E35">
        <v>144</v>
      </c>
      <c r="F35" t="s">
        <v>245</v>
      </c>
    </row>
    <row r="36" spans="1:6" x14ac:dyDescent="0.3">
      <c r="A36" t="s">
        <v>313</v>
      </c>
      <c r="B36" t="s">
        <v>314</v>
      </c>
      <c r="C36" t="s">
        <v>257</v>
      </c>
      <c r="D36" s="3">
        <v>5.2999999999999999E-2</v>
      </c>
      <c r="E36">
        <v>208</v>
      </c>
      <c r="F36" t="s">
        <v>245</v>
      </c>
    </row>
    <row r="37" spans="1:6" x14ac:dyDescent="0.3">
      <c r="A37" t="s">
        <v>315</v>
      </c>
      <c r="B37" t="s">
        <v>316</v>
      </c>
      <c r="C37" t="s">
        <v>257</v>
      </c>
      <c r="D37" s="3">
        <v>0.106</v>
      </c>
      <c r="E37">
        <v>242</v>
      </c>
      <c r="F37" t="s">
        <v>241</v>
      </c>
    </row>
    <row r="38" spans="1:6" x14ac:dyDescent="0.3">
      <c r="A38" t="s">
        <v>317</v>
      </c>
      <c r="B38" t="s">
        <v>318</v>
      </c>
      <c r="C38" t="s">
        <v>278</v>
      </c>
      <c r="D38" s="3">
        <v>2.9000000000000001E-2</v>
      </c>
      <c r="E38">
        <v>99</v>
      </c>
      <c r="F38" t="s">
        <v>245</v>
      </c>
    </row>
    <row r="39" spans="1:6" x14ac:dyDescent="0.3">
      <c r="A39" t="s">
        <v>319</v>
      </c>
      <c r="B39" t="s">
        <v>320</v>
      </c>
      <c r="C39" t="s">
        <v>240</v>
      </c>
      <c r="D39" s="3">
        <v>4.1000000000000002E-2</v>
      </c>
      <c r="E39">
        <v>89</v>
      </c>
      <c r="F39" t="s">
        <v>245</v>
      </c>
    </row>
    <row r="40" spans="1:6" x14ac:dyDescent="0.3">
      <c r="A40" t="s">
        <v>321</v>
      </c>
      <c r="B40" t="s">
        <v>322</v>
      </c>
      <c r="C40" t="s">
        <v>257</v>
      </c>
      <c r="D40" s="3">
        <v>9.9000000000000005E-2</v>
      </c>
      <c r="E40">
        <v>284</v>
      </c>
      <c r="F40" t="s">
        <v>241</v>
      </c>
    </row>
    <row r="41" spans="1:6" x14ac:dyDescent="0.3">
      <c r="A41" t="s">
        <v>323</v>
      </c>
      <c r="B41" t="s">
        <v>324</v>
      </c>
      <c r="C41" t="s">
        <v>278</v>
      </c>
      <c r="D41" s="3">
        <v>5.3999999999999999E-2</v>
      </c>
      <c r="E41">
        <v>66</v>
      </c>
      <c r="F41" t="s">
        <v>245</v>
      </c>
    </row>
    <row r="42" spans="1:6" x14ac:dyDescent="0.3">
      <c r="A42" t="s">
        <v>325</v>
      </c>
      <c r="B42" t="s">
        <v>326</v>
      </c>
      <c r="C42" t="s">
        <v>244</v>
      </c>
      <c r="D42" s="3">
        <v>7.0000000000000007E-2</v>
      </c>
      <c r="E42">
        <v>75</v>
      </c>
      <c r="F42" t="s">
        <v>245</v>
      </c>
    </row>
    <row r="43" spans="1:6" x14ac:dyDescent="0.3">
      <c r="A43" t="s">
        <v>327</v>
      </c>
      <c r="B43" t="s">
        <v>328</v>
      </c>
      <c r="C43" t="s">
        <v>240</v>
      </c>
      <c r="D43" s="3">
        <v>3.7999999999999999E-2</v>
      </c>
      <c r="E43">
        <v>199</v>
      </c>
      <c r="F43" t="s">
        <v>245</v>
      </c>
    </row>
    <row r="44" spans="1:6" x14ac:dyDescent="0.3">
      <c r="A44" t="s">
        <v>329</v>
      </c>
      <c r="B44" t="s">
        <v>330</v>
      </c>
      <c r="C44" t="s">
        <v>240</v>
      </c>
      <c r="D44" s="3">
        <v>0.02</v>
      </c>
      <c r="E44">
        <v>144</v>
      </c>
      <c r="F44" t="s">
        <v>245</v>
      </c>
    </row>
    <row r="45" spans="1:6" x14ac:dyDescent="0.3">
      <c r="A45" t="s">
        <v>331</v>
      </c>
      <c r="B45" t="s">
        <v>332</v>
      </c>
      <c r="C45" t="s">
        <v>278</v>
      </c>
      <c r="D45" s="3">
        <v>4.2000000000000003E-2</v>
      </c>
      <c r="E45">
        <v>67</v>
      </c>
      <c r="F45" t="s">
        <v>245</v>
      </c>
    </row>
    <row r="46" spans="1:6" x14ac:dyDescent="0.3">
      <c r="A46" t="s">
        <v>333</v>
      </c>
      <c r="B46" t="s">
        <v>334</v>
      </c>
      <c r="C46" t="s">
        <v>252</v>
      </c>
      <c r="D46" s="3">
        <v>1.6E-2</v>
      </c>
      <c r="E46">
        <v>39</v>
      </c>
      <c r="F46" t="s">
        <v>245</v>
      </c>
    </row>
    <row r="47" spans="1:6" x14ac:dyDescent="0.3">
      <c r="A47" t="s">
        <v>335</v>
      </c>
      <c r="B47" t="s">
        <v>336</v>
      </c>
      <c r="C47" t="s">
        <v>252</v>
      </c>
      <c r="D47" s="3">
        <v>3.3000000000000002E-2</v>
      </c>
      <c r="E47">
        <v>88</v>
      </c>
      <c r="F47" t="s">
        <v>245</v>
      </c>
    </row>
    <row r="48" spans="1:6" x14ac:dyDescent="0.3">
      <c r="A48" t="s">
        <v>337</v>
      </c>
      <c r="B48" t="s">
        <v>338</v>
      </c>
      <c r="C48" t="s">
        <v>257</v>
      </c>
      <c r="D48" s="3">
        <v>0.14299999999999999</v>
      </c>
      <c r="E48">
        <v>142</v>
      </c>
      <c r="F48" t="s">
        <v>241</v>
      </c>
    </row>
    <row r="49" spans="1:6" x14ac:dyDescent="0.3">
      <c r="A49" t="s">
        <v>339</v>
      </c>
      <c r="B49" t="s">
        <v>340</v>
      </c>
      <c r="C49" t="s">
        <v>257</v>
      </c>
      <c r="D49" s="3">
        <v>7.3999999999999996E-2</v>
      </c>
      <c r="E49">
        <v>214</v>
      </c>
      <c r="F49" t="s">
        <v>241</v>
      </c>
    </row>
    <row r="50" spans="1:6" x14ac:dyDescent="0.3">
      <c r="A50" t="s">
        <v>341</v>
      </c>
      <c r="B50" t="s">
        <v>342</v>
      </c>
      <c r="C50" t="s">
        <v>252</v>
      </c>
      <c r="D50" s="3">
        <v>3.6999999999999998E-2</v>
      </c>
      <c r="E50">
        <v>36</v>
      </c>
      <c r="F50" t="s">
        <v>245</v>
      </c>
    </row>
    <row r="51" spans="1:6" x14ac:dyDescent="0.3">
      <c r="A51" t="s">
        <v>343</v>
      </c>
      <c r="B51" t="s">
        <v>344</v>
      </c>
      <c r="C51" t="s">
        <v>278</v>
      </c>
      <c r="D51" s="3">
        <v>4.3999999999999997E-2</v>
      </c>
      <c r="E51">
        <v>65</v>
      </c>
      <c r="F51" t="s">
        <v>245</v>
      </c>
    </row>
    <row r="52" spans="1:6" x14ac:dyDescent="0.3">
      <c r="A52" t="s">
        <v>345</v>
      </c>
      <c r="B52" t="s">
        <v>346</v>
      </c>
      <c r="C52" t="s">
        <v>244</v>
      </c>
      <c r="D52" s="3">
        <v>6.8000000000000005E-2</v>
      </c>
      <c r="E52">
        <v>100</v>
      </c>
      <c r="F52" t="s">
        <v>245</v>
      </c>
    </row>
    <row r="53" spans="1:6" x14ac:dyDescent="0.3">
      <c r="A53" t="s">
        <v>347</v>
      </c>
      <c r="B53" t="s">
        <v>348</v>
      </c>
      <c r="C53" t="s">
        <v>257</v>
      </c>
      <c r="D53" s="3">
        <v>0.11700000000000001</v>
      </c>
      <c r="E53">
        <v>122</v>
      </c>
      <c r="F53" t="s">
        <v>241</v>
      </c>
    </row>
    <row r="54" spans="1:6" x14ac:dyDescent="0.3">
      <c r="A54" t="s">
        <v>349</v>
      </c>
      <c r="B54" t="s">
        <v>350</v>
      </c>
      <c r="C54" t="s">
        <v>244</v>
      </c>
      <c r="D54" s="3">
        <v>5.3999999999999999E-2</v>
      </c>
      <c r="E54">
        <v>131</v>
      </c>
      <c r="F54" t="s">
        <v>245</v>
      </c>
    </row>
    <row r="55" spans="1:6" x14ac:dyDescent="0.3">
      <c r="A55" t="s">
        <v>351</v>
      </c>
      <c r="B55" t="s">
        <v>352</v>
      </c>
      <c r="C55" t="s">
        <v>244</v>
      </c>
      <c r="D55" s="3">
        <v>3.3000000000000002E-2</v>
      </c>
      <c r="E55">
        <v>67</v>
      </c>
      <c r="F55" t="s">
        <v>245</v>
      </c>
    </row>
    <row r="56" spans="1:6" x14ac:dyDescent="0.3">
      <c r="A56" t="s">
        <v>353</v>
      </c>
      <c r="B56" t="s">
        <v>354</v>
      </c>
      <c r="C56" t="s">
        <v>278</v>
      </c>
      <c r="D56" s="3">
        <v>5.8000000000000003E-2</v>
      </c>
      <c r="E56">
        <v>37</v>
      </c>
      <c r="F56" t="s">
        <v>245</v>
      </c>
    </row>
    <row r="57" spans="1:6" x14ac:dyDescent="0.3">
      <c r="A57" t="s">
        <v>355</v>
      </c>
      <c r="B57" t="s">
        <v>356</v>
      </c>
      <c r="C57" t="s">
        <v>240</v>
      </c>
      <c r="D57" s="3">
        <v>7.8E-2</v>
      </c>
      <c r="E57">
        <v>72</v>
      </c>
      <c r="F57" t="s">
        <v>241</v>
      </c>
    </row>
    <row r="58" spans="1:6" x14ac:dyDescent="0.3">
      <c r="A58" t="s">
        <v>357</v>
      </c>
      <c r="B58" t="s">
        <v>358</v>
      </c>
      <c r="C58" t="s">
        <v>257</v>
      </c>
      <c r="D58" s="3">
        <v>0.13900000000000001</v>
      </c>
      <c r="E58">
        <v>248</v>
      </c>
      <c r="F58" t="s">
        <v>241</v>
      </c>
    </row>
    <row r="59" spans="1:6" x14ac:dyDescent="0.3">
      <c r="A59" t="s">
        <v>359</v>
      </c>
      <c r="B59" t="s">
        <v>360</v>
      </c>
      <c r="C59" t="s">
        <v>244</v>
      </c>
      <c r="D59" s="3">
        <v>0.05</v>
      </c>
      <c r="E59">
        <v>150</v>
      </c>
      <c r="F59" t="s">
        <v>245</v>
      </c>
    </row>
    <row r="60" spans="1:6" x14ac:dyDescent="0.3">
      <c r="A60" t="s">
        <v>361</v>
      </c>
      <c r="B60" t="s">
        <v>362</v>
      </c>
      <c r="C60" t="s">
        <v>252</v>
      </c>
      <c r="D60" s="3">
        <v>4.5999999999999999E-2</v>
      </c>
      <c r="E60">
        <v>29</v>
      </c>
      <c r="F60" t="s">
        <v>245</v>
      </c>
    </row>
    <row r="61" spans="1:6" x14ac:dyDescent="0.3">
      <c r="A61" t="s">
        <v>363</v>
      </c>
      <c r="B61" t="s">
        <v>364</v>
      </c>
      <c r="C61" t="s">
        <v>252</v>
      </c>
      <c r="D61" s="3">
        <v>1.4E-2</v>
      </c>
      <c r="E61">
        <v>36</v>
      </c>
      <c r="F61" t="s">
        <v>245</v>
      </c>
    </row>
    <row r="62" spans="1:6" x14ac:dyDescent="0.3">
      <c r="A62" t="s">
        <v>365</v>
      </c>
      <c r="B62" t="s">
        <v>366</v>
      </c>
      <c r="C62" t="s">
        <v>252</v>
      </c>
      <c r="D62" s="3">
        <v>2.3E-2</v>
      </c>
      <c r="E62">
        <v>104</v>
      </c>
      <c r="F62" t="s">
        <v>245</v>
      </c>
    </row>
    <row r="63" spans="1:6" x14ac:dyDescent="0.3">
      <c r="A63" t="s">
        <v>367</v>
      </c>
      <c r="B63" t="s">
        <v>368</v>
      </c>
      <c r="C63" t="s">
        <v>252</v>
      </c>
      <c r="D63" s="3">
        <v>2.9000000000000001E-2</v>
      </c>
      <c r="E63">
        <v>52</v>
      </c>
      <c r="F63" t="s">
        <v>245</v>
      </c>
    </row>
    <row r="64" spans="1:6" x14ac:dyDescent="0.3">
      <c r="A64" t="s">
        <v>369</v>
      </c>
      <c r="B64" t="s">
        <v>370</v>
      </c>
      <c r="C64" t="s">
        <v>244</v>
      </c>
      <c r="D64" s="3">
        <v>7.0000000000000007E-2</v>
      </c>
      <c r="E64">
        <v>87</v>
      </c>
      <c r="F64" t="s">
        <v>245</v>
      </c>
    </row>
    <row r="65" spans="1:6" x14ac:dyDescent="0.3">
      <c r="A65" t="s">
        <v>371</v>
      </c>
      <c r="B65" t="s">
        <v>372</v>
      </c>
      <c r="C65" t="s">
        <v>257</v>
      </c>
      <c r="D65" s="3">
        <v>7.8E-2</v>
      </c>
      <c r="E65">
        <v>142</v>
      </c>
      <c r="F65" t="s">
        <v>241</v>
      </c>
    </row>
    <row r="66" spans="1:6" x14ac:dyDescent="0.3">
      <c r="A66" t="s">
        <v>373</v>
      </c>
      <c r="B66" t="s">
        <v>374</v>
      </c>
      <c r="C66" t="s">
        <v>252</v>
      </c>
      <c r="D66" s="3">
        <v>3.6999999999999998E-2</v>
      </c>
      <c r="E66">
        <v>51</v>
      </c>
      <c r="F66" t="s">
        <v>245</v>
      </c>
    </row>
    <row r="67" spans="1:6" x14ac:dyDescent="0.3">
      <c r="A67" t="s">
        <v>375</v>
      </c>
      <c r="B67" t="s">
        <v>376</v>
      </c>
      <c r="C67" t="s">
        <v>278</v>
      </c>
      <c r="D67" s="3">
        <v>3.6999999999999998E-2</v>
      </c>
      <c r="E67">
        <v>159</v>
      </c>
      <c r="F67" t="s">
        <v>245</v>
      </c>
    </row>
    <row r="68" spans="1:6" x14ac:dyDescent="0.3">
      <c r="A68" t="s">
        <v>377</v>
      </c>
      <c r="B68" t="s">
        <v>378</v>
      </c>
      <c r="C68" t="s">
        <v>257</v>
      </c>
      <c r="D68" s="3">
        <v>7.1999999999999995E-2</v>
      </c>
      <c r="E68">
        <v>289</v>
      </c>
      <c r="F68" t="s">
        <v>241</v>
      </c>
    </row>
    <row r="69" spans="1:6" x14ac:dyDescent="0.3">
      <c r="A69" t="s">
        <v>379</v>
      </c>
      <c r="B69" t="s">
        <v>380</v>
      </c>
      <c r="C69" t="s">
        <v>278</v>
      </c>
      <c r="D69" s="3">
        <v>2.4E-2</v>
      </c>
      <c r="E69">
        <v>74</v>
      </c>
      <c r="F69" t="s">
        <v>245</v>
      </c>
    </row>
    <row r="70" spans="1:6" x14ac:dyDescent="0.3">
      <c r="A70" t="s">
        <v>381</v>
      </c>
      <c r="B70" t="s">
        <v>382</v>
      </c>
      <c r="C70" t="s">
        <v>240</v>
      </c>
      <c r="D70" s="3">
        <v>6.2E-2</v>
      </c>
      <c r="E70">
        <v>95</v>
      </c>
      <c r="F70" t="s">
        <v>245</v>
      </c>
    </row>
    <row r="71" spans="1:6" x14ac:dyDescent="0.3">
      <c r="A71" t="s">
        <v>383</v>
      </c>
      <c r="B71" t="s">
        <v>384</v>
      </c>
      <c r="C71" t="s">
        <v>257</v>
      </c>
      <c r="D71" s="3">
        <v>0.10199999999999999</v>
      </c>
      <c r="E71">
        <v>92</v>
      </c>
      <c r="F71" t="s">
        <v>241</v>
      </c>
    </row>
    <row r="72" spans="1:6" x14ac:dyDescent="0.3">
      <c r="A72" t="s">
        <v>385</v>
      </c>
      <c r="B72" t="s">
        <v>386</v>
      </c>
      <c r="C72" t="s">
        <v>278</v>
      </c>
      <c r="D72" s="3">
        <v>5.8999999999999997E-2</v>
      </c>
      <c r="E72">
        <v>82</v>
      </c>
      <c r="F72" t="s">
        <v>245</v>
      </c>
    </row>
    <row r="73" spans="1:6" x14ac:dyDescent="0.3">
      <c r="A73" t="s">
        <v>387</v>
      </c>
      <c r="B73" t="s">
        <v>388</v>
      </c>
      <c r="C73" t="s">
        <v>244</v>
      </c>
      <c r="D73" s="3">
        <v>2.1999999999999999E-2</v>
      </c>
      <c r="E73">
        <v>51</v>
      </c>
      <c r="F73" t="s">
        <v>245</v>
      </c>
    </row>
    <row r="74" spans="1:6" x14ac:dyDescent="0.3">
      <c r="A74" t="s">
        <v>389</v>
      </c>
      <c r="B74" t="s">
        <v>390</v>
      </c>
      <c r="C74" t="s">
        <v>244</v>
      </c>
      <c r="D74" s="3">
        <v>5.3999999999999999E-2</v>
      </c>
      <c r="E74">
        <v>92</v>
      </c>
      <c r="F74" t="s">
        <v>245</v>
      </c>
    </row>
    <row r="75" spans="1:6" x14ac:dyDescent="0.3">
      <c r="A75" t="s">
        <v>391</v>
      </c>
      <c r="B75" t="s">
        <v>392</v>
      </c>
      <c r="C75" t="s">
        <v>252</v>
      </c>
      <c r="D75" s="3">
        <v>0.03</v>
      </c>
      <c r="E75">
        <v>61</v>
      </c>
      <c r="F75" t="s">
        <v>245</v>
      </c>
    </row>
    <row r="76" spans="1:6" x14ac:dyDescent="0.3">
      <c r="A76" t="s">
        <v>393</v>
      </c>
      <c r="B76" t="s">
        <v>394</v>
      </c>
      <c r="C76" t="s">
        <v>252</v>
      </c>
      <c r="D76" s="3">
        <v>0.03</v>
      </c>
      <c r="E76">
        <v>57</v>
      </c>
      <c r="F76" t="s">
        <v>245</v>
      </c>
    </row>
    <row r="77" spans="1:6" x14ac:dyDescent="0.3">
      <c r="A77" t="s">
        <v>395</v>
      </c>
      <c r="B77" t="s">
        <v>396</v>
      </c>
      <c r="C77" t="s">
        <v>244</v>
      </c>
      <c r="D77" s="3">
        <v>2.4E-2</v>
      </c>
      <c r="E77">
        <v>91</v>
      </c>
      <c r="F77" t="s">
        <v>245</v>
      </c>
    </row>
    <row r="78" spans="1:6" x14ac:dyDescent="0.3">
      <c r="A78" t="s">
        <v>397</v>
      </c>
      <c r="B78" t="s">
        <v>398</v>
      </c>
      <c r="C78" t="s">
        <v>240</v>
      </c>
      <c r="D78" s="3">
        <v>3.3000000000000002E-2</v>
      </c>
      <c r="E78">
        <v>76</v>
      </c>
      <c r="F78" t="s">
        <v>245</v>
      </c>
    </row>
    <row r="79" spans="1:6" x14ac:dyDescent="0.3">
      <c r="A79" t="s">
        <v>399</v>
      </c>
      <c r="B79" t="s">
        <v>400</v>
      </c>
      <c r="C79" t="s">
        <v>240</v>
      </c>
      <c r="D79" s="3">
        <v>4.4999999999999998E-2</v>
      </c>
      <c r="E79">
        <v>139</v>
      </c>
      <c r="F79" t="s">
        <v>245</v>
      </c>
    </row>
    <row r="80" spans="1:6" x14ac:dyDescent="0.3">
      <c r="A80" t="s">
        <v>401</v>
      </c>
      <c r="B80" t="s">
        <v>402</v>
      </c>
      <c r="C80" t="s">
        <v>278</v>
      </c>
      <c r="D80" s="3">
        <v>2.5999999999999999E-2</v>
      </c>
      <c r="E80">
        <v>33</v>
      </c>
      <c r="F80" t="s">
        <v>245</v>
      </c>
    </row>
    <row r="81" spans="1:6" x14ac:dyDescent="0.3">
      <c r="A81" t="s">
        <v>403</v>
      </c>
      <c r="B81" t="s">
        <v>404</v>
      </c>
      <c r="C81" t="s">
        <v>240</v>
      </c>
      <c r="D81" s="3">
        <v>0.05</v>
      </c>
      <c r="E81">
        <v>130</v>
      </c>
      <c r="F81" t="s">
        <v>245</v>
      </c>
    </row>
    <row r="82" spans="1:6" x14ac:dyDescent="0.3">
      <c r="A82" t="s">
        <v>405</v>
      </c>
      <c r="B82" t="s">
        <v>406</v>
      </c>
      <c r="C82" t="s">
        <v>278</v>
      </c>
      <c r="D82" s="3">
        <v>5.8999999999999997E-2</v>
      </c>
      <c r="E82">
        <v>63</v>
      </c>
      <c r="F82" t="s">
        <v>245</v>
      </c>
    </row>
    <row r="83" spans="1:6" x14ac:dyDescent="0.3">
      <c r="A83" t="s">
        <v>407</v>
      </c>
      <c r="B83" t="s">
        <v>408</v>
      </c>
      <c r="C83" t="s">
        <v>244</v>
      </c>
      <c r="D83" s="3">
        <v>2.1999999999999999E-2</v>
      </c>
      <c r="E83">
        <v>133</v>
      </c>
      <c r="F83" t="s">
        <v>245</v>
      </c>
    </row>
    <row r="84" spans="1:6" x14ac:dyDescent="0.3">
      <c r="A84" t="s">
        <v>409</v>
      </c>
      <c r="B84" t="s">
        <v>410</v>
      </c>
      <c r="C84" t="s">
        <v>244</v>
      </c>
      <c r="D84" s="3">
        <v>1.7999999999999999E-2</v>
      </c>
      <c r="E84">
        <v>97</v>
      </c>
      <c r="F84" t="s">
        <v>245</v>
      </c>
    </row>
    <row r="85" spans="1:6" x14ac:dyDescent="0.3">
      <c r="A85" t="s">
        <v>411</v>
      </c>
      <c r="B85" t="s">
        <v>412</v>
      </c>
      <c r="C85" t="s">
        <v>244</v>
      </c>
      <c r="D85" s="3">
        <v>4.2000000000000003E-2</v>
      </c>
      <c r="E85">
        <v>77</v>
      </c>
      <c r="F85" t="s">
        <v>245</v>
      </c>
    </row>
    <row r="86" spans="1:6" x14ac:dyDescent="0.3">
      <c r="A86" t="s">
        <v>413</v>
      </c>
      <c r="B86" t="s">
        <v>414</v>
      </c>
      <c r="C86" t="s">
        <v>244</v>
      </c>
      <c r="D86" s="3">
        <v>4.7E-2</v>
      </c>
      <c r="E86">
        <v>116</v>
      </c>
      <c r="F86" t="s">
        <v>245</v>
      </c>
    </row>
    <row r="87" spans="1:6" x14ac:dyDescent="0.3">
      <c r="A87" t="s">
        <v>415</v>
      </c>
      <c r="B87" t="s">
        <v>416</v>
      </c>
      <c r="C87" t="s">
        <v>278</v>
      </c>
      <c r="D87" s="3">
        <v>5.0999999999999997E-2</v>
      </c>
      <c r="E87">
        <v>85</v>
      </c>
      <c r="F87" t="s">
        <v>245</v>
      </c>
    </row>
    <row r="88" spans="1:6" x14ac:dyDescent="0.3">
      <c r="A88" t="s">
        <v>417</v>
      </c>
      <c r="B88" t="s">
        <v>418</v>
      </c>
      <c r="C88" t="s">
        <v>252</v>
      </c>
      <c r="D88" s="3">
        <v>1.6E-2</v>
      </c>
      <c r="E88">
        <v>40</v>
      </c>
      <c r="F88" t="s">
        <v>245</v>
      </c>
    </row>
    <row r="89" spans="1:6" x14ac:dyDescent="0.3">
      <c r="A89" t="s">
        <v>419</v>
      </c>
      <c r="B89" t="s">
        <v>420</v>
      </c>
      <c r="C89" t="s">
        <v>278</v>
      </c>
      <c r="D89" s="3">
        <v>5.7000000000000002E-2</v>
      </c>
      <c r="E89">
        <v>90</v>
      </c>
      <c r="F89" t="s">
        <v>245</v>
      </c>
    </row>
    <row r="90" spans="1:6" x14ac:dyDescent="0.3">
      <c r="A90" t="s">
        <v>421</v>
      </c>
      <c r="B90" t="s">
        <v>422</v>
      </c>
      <c r="C90" t="s">
        <v>278</v>
      </c>
      <c r="D90" s="3">
        <v>0.04</v>
      </c>
      <c r="E90">
        <v>128</v>
      </c>
      <c r="F90" t="s">
        <v>245</v>
      </c>
    </row>
    <row r="91" spans="1:6" x14ac:dyDescent="0.3">
      <c r="A91" t="s">
        <v>423</v>
      </c>
      <c r="B91" t="s">
        <v>424</v>
      </c>
      <c r="C91" t="s">
        <v>240</v>
      </c>
      <c r="D91" s="3">
        <v>4.8000000000000001E-2</v>
      </c>
      <c r="E91">
        <v>208</v>
      </c>
      <c r="F91" t="s">
        <v>245</v>
      </c>
    </row>
    <row r="92" spans="1:6" x14ac:dyDescent="0.3">
      <c r="A92" t="s">
        <v>425</v>
      </c>
      <c r="B92" t="s">
        <v>426</v>
      </c>
      <c r="C92" t="s">
        <v>278</v>
      </c>
      <c r="D92" s="3">
        <v>5.5E-2</v>
      </c>
      <c r="E92">
        <v>88</v>
      </c>
      <c r="F92" t="s">
        <v>245</v>
      </c>
    </row>
    <row r="93" spans="1:6" x14ac:dyDescent="0.3">
      <c r="A93" t="s">
        <v>427</v>
      </c>
      <c r="B93" t="s">
        <v>428</v>
      </c>
      <c r="C93" t="s">
        <v>240</v>
      </c>
      <c r="D93" s="3">
        <v>4.2999999999999997E-2</v>
      </c>
      <c r="E93">
        <v>59</v>
      </c>
      <c r="F93" t="s">
        <v>245</v>
      </c>
    </row>
    <row r="94" spans="1:6" x14ac:dyDescent="0.3">
      <c r="A94" t="s">
        <v>429</v>
      </c>
      <c r="B94" t="s">
        <v>430</v>
      </c>
      <c r="C94" t="s">
        <v>252</v>
      </c>
      <c r="D94" s="3">
        <v>3.4000000000000002E-2</v>
      </c>
      <c r="E94">
        <v>93</v>
      </c>
      <c r="F94" t="s">
        <v>245</v>
      </c>
    </row>
    <row r="95" spans="1:6" x14ac:dyDescent="0.3">
      <c r="A95" t="s">
        <v>431</v>
      </c>
      <c r="B95" t="s">
        <v>432</v>
      </c>
      <c r="C95" t="s">
        <v>257</v>
      </c>
      <c r="D95" s="3">
        <v>9.0999999999999998E-2</v>
      </c>
      <c r="E95">
        <v>142</v>
      </c>
      <c r="F95" t="s">
        <v>241</v>
      </c>
    </row>
    <row r="96" spans="1:6" x14ac:dyDescent="0.3">
      <c r="A96" t="s">
        <v>433</v>
      </c>
      <c r="B96" t="s">
        <v>434</v>
      </c>
      <c r="C96" t="s">
        <v>278</v>
      </c>
      <c r="D96" s="3">
        <v>3.2000000000000001E-2</v>
      </c>
      <c r="E96">
        <v>67</v>
      </c>
      <c r="F96" t="s">
        <v>245</v>
      </c>
    </row>
    <row r="97" spans="1:6" x14ac:dyDescent="0.3">
      <c r="A97" t="s">
        <v>435</v>
      </c>
      <c r="B97" t="s">
        <v>436</v>
      </c>
      <c r="C97" t="s">
        <v>257</v>
      </c>
      <c r="D97" s="3">
        <v>6.2E-2</v>
      </c>
      <c r="E97">
        <v>163</v>
      </c>
      <c r="F97" t="s">
        <v>245</v>
      </c>
    </row>
    <row r="98" spans="1:6" x14ac:dyDescent="0.3">
      <c r="A98" t="s">
        <v>437</v>
      </c>
      <c r="B98" t="s">
        <v>438</v>
      </c>
      <c r="C98" t="s">
        <v>278</v>
      </c>
      <c r="D98" s="3">
        <v>5.8999999999999997E-2</v>
      </c>
      <c r="E98">
        <v>125</v>
      </c>
      <c r="F98" t="s">
        <v>245</v>
      </c>
    </row>
    <row r="99" spans="1:6" x14ac:dyDescent="0.3">
      <c r="A99" t="s">
        <v>439</v>
      </c>
      <c r="B99" t="s">
        <v>440</v>
      </c>
      <c r="C99" t="s">
        <v>278</v>
      </c>
      <c r="D99" s="3">
        <v>2.7E-2</v>
      </c>
      <c r="E99">
        <v>97</v>
      </c>
      <c r="F99" t="s">
        <v>245</v>
      </c>
    </row>
    <row r="100" spans="1:6" x14ac:dyDescent="0.3">
      <c r="A100" t="s">
        <v>441</v>
      </c>
      <c r="B100" t="s">
        <v>442</v>
      </c>
      <c r="C100" t="s">
        <v>244</v>
      </c>
      <c r="D100" s="3">
        <v>6.0999999999999999E-2</v>
      </c>
      <c r="E100">
        <v>75</v>
      </c>
      <c r="F100" t="s">
        <v>245</v>
      </c>
    </row>
    <row r="101" spans="1:6" x14ac:dyDescent="0.3">
      <c r="A101" t="s">
        <v>443</v>
      </c>
      <c r="B101" t="s">
        <v>444</v>
      </c>
      <c r="C101" t="s">
        <v>240</v>
      </c>
      <c r="D101" s="3">
        <v>3.6999999999999998E-2</v>
      </c>
      <c r="E101">
        <v>125</v>
      </c>
      <c r="F101" t="s">
        <v>245</v>
      </c>
    </row>
    <row r="102" spans="1:6" x14ac:dyDescent="0.3">
      <c r="A102" t="s">
        <v>445</v>
      </c>
      <c r="B102" t="s">
        <v>446</v>
      </c>
      <c r="C102" t="s">
        <v>257</v>
      </c>
      <c r="D102" s="3">
        <v>0.09</v>
      </c>
      <c r="E102">
        <v>287</v>
      </c>
      <c r="F102" t="s">
        <v>241</v>
      </c>
    </row>
    <row r="103" spans="1:6" x14ac:dyDescent="0.3">
      <c r="A103" t="s">
        <v>447</v>
      </c>
      <c r="B103" t="s">
        <v>448</v>
      </c>
      <c r="C103" t="s">
        <v>252</v>
      </c>
      <c r="D103" s="3">
        <v>4.5999999999999999E-2</v>
      </c>
      <c r="E103">
        <v>47</v>
      </c>
      <c r="F103" t="s">
        <v>245</v>
      </c>
    </row>
    <row r="104" spans="1:6" x14ac:dyDescent="0.3">
      <c r="A104" t="s">
        <v>449</v>
      </c>
      <c r="B104" t="s">
        <v>450</v>
      </c>
      <c r="C104" t="s">
        <v>240</v>
      </c>
      <c r="D104" s="3">
        <v>4.3999999999999997E-2</v>
      </c>
      <c r="E104">
        <v>114</v>
      </c>
      <c r="F104" t="s">
        <v>245</v>
      </c>
    </row>
    <row r="105" spans="1:6" x14ac:dyDescent="0.3">
      <c r="A105" t="s">
        <v>451</v>
      </c>
      <c r="B105" t="s">
        <v>452</v>
      </c>
      <c r="C105" t="s">
        <v>257</v>
      </c>
      <c r="D105" s="3">
        <v>0.14699999999999999</v>
      </c>
      <c r="E105">
        <v>226</v>
      </c>
      <c r="F105" t="s">
        <v>241</v>
      </c>
    </row>
    <row r="106" spans="1:6" x14ac:dyDescent="0.3">
      <c r="A106" t="s">
        <v>453</v>
      </c>
      <c r="B106" t="s">
        <v>454</v>
      </c>
      <c r="C106" t="s">
        <v>257</v>
      </c>
      <c r="D106" s="3">
        <v>7.5999999999999998E-2</v>
      </c>
      <c r="E106">
        <v>189</v>
      </c>
      <c r="F106" t="s">
        <v>241</v>
      </c>
    </row>
    <row r="107" spans="1:6" x14ac:dyDescent="0.3">
      <c r="A107" t="s">
        <v>455</v>
      </c>
      <c r="B107" t="s">
        <v>456</v>
      </c>
      <c r="C107" t="s">
        <v>278</v>
      </c>
      <c r="D107" s="3">
        <v>3.9E-2</v>
      </c>
      <c r="E107">
        <v>130</v>
      </c>
      <c r="F107" t="s">
        <v>245</v>
      </c>
    </row>
    <row r="108" spans="1:6" x14ac:dyDescent="0.3">
      <c r="A108" t="s">
        <v>457</v>
      </c>
      <c r="B108" t="s">
        <v>458</v>
      </c>
      <c r="C108" t="s">
        <v>257</v>
      </c>
      <c r="D108" s="3">
        <v>8.3000000000000004E-2</v>
      </c>
      <c r="E108">
        <v>218</v>
      </c>
      <c r="F108" t="s">
        <v>241</v>
      </c>
    </row>
    <row r="109" spans="1:6" x14ac:dyDescent="0.3">
      <c r="A109" t="s">
        <v>459</v>
      </c>
      <c r="B109" t="s">
        <v>460</v>
      </c>
      <c r="C109" t="s">
        <v>257</v>
      </c>
      <c r="D109" s="3">
        <v>0.12</v>
      </c>
      <c r="E109">
        <v>206</v>
      </c>
      <c r="F109" t="s">
        <v>241</v>
      </c>
    </row>
    <row r="110" spans="1:6" x14ac:dyDescent="0.3">
      <c r="A110" t="s">
        <v>461</v>
      </c>
      <c r="B110" t="s">
        <v>462</v>
      </c>
      <c r="C110" t="s">
        <v>244</v>
      </c>
      <c r="D110" s="3">
        <v>4.3999999999999997E-2</v>
      </c>
      <c r="E110">
        <v>74</v>
      </c>
      <c r="F110" t="s">
        <v>245</v>
      </c>
    </row>
    <row r="111" spans="1:6" x14ac:dyDescent="0.3">
      <c r="A111" t="s">
        <v>463</v>
      </c>
      <c r="B111" t="s">
        <v>464</v>
      </c>
      <c r="C111" t="s">
        <v>240</v>
      </c>
      <c r="D111" s="3">
        <v>4.2000000000000003E-2</v>
      </c>
      <c r="E111">
        <v>132</v>
      </c>
      <c r="F111" t="s">
        <v>245</v>
      </c>
    </row>
    <row r="112" spans="1:6" x14ac:dyDescent="0.3">
      <c r="A112" t="s">
        <v>465</v>
      </c>
      <c r="B112" t="s">
        <v>466</v>
      </c>
      <c r="C112" t="s">
        <v>240</v>
      </c>
      <c r="D112" s="3">
        <v>6.4000000000000001E-2</v>
      </c>
      <c r="E112">
        <v>97</v>
      </c>
      <c r="F112" t="s">
        <v>245</v>
      </c>
    </row>
    <row r="113" spans="1:6" x14ac:dyDescent="0.3">
      <c r="A113" t="s">
        <v>467</v>
      </c>
      <c r="B113" t="s">
        <v>468</v>
      </c>
      <c r="C113" t="s">
        <v>244</v>
      </c>
      <c r="D113" s="3">
        <v>6.4000000000000001E-2</v>
      </c>
      <c r="E113">
        <v>57</v>
      </c>
      <c r="F113" t="s">
        <v>245</v>
      </c>
    </row>
    <row r="114" spans="1:6" x14ac:dyDescent="0.3">
      <c r="A114" t="s">
        <v>469</v>
      </c>
      <c r="B114" t="s">
        <v>470</v>
      </c>
      <c r="C114" t="s">
        <v>278</v>
      </c>
      <c r="D114" s="3">
        <v>3.7999999999999999E-2</v>
      </c>
      <c r="E114">
        <v>70</v>
      </c>
      <c r="F114" t="s">
        <v>245</v>
      </c>
    </row>
    <row r="115" spans="1:6" x14ac:dyDescent="0.3">
      <c r="A115" t="s">
        <v>471</v>
      </c>
      <c r="B115" t="s">
        <v>472</v>
      </c>
      <c r="C115" t="s">
        <v>257</v>
      </c>
      <c r="D115" s="3">
        <v>0.109</v>
      </c>
      <c r="E115">
        <v>206</v>
      </c>
      <c r="F115" t="s">
        <v>241</v>
      </c>
    </row>
    <row r="116" spans="1:6" x14ac:dyDescent="0.3">
      <c r="A116" t="s">
        <v>473</v>
      </c>
      <c r="B116" t="s">
        <v>474</v>
      </c>
      <c r="C116" t="s">
        <v>240</v>
      </c>
      <c r="D116" s="3">
        <v>4.2999999999999997E-2</v>
      </c>
      <c r="E116">
        <v>81</v>
      </c>
      <c r="F116" t="s">
        <v>245</v>
      </c>
    </row>
    <row r="117" spans="1:6" x14ac:dyDescent="0.3">
      <c r="A117" t="s">
        <v>475</v>
      </c>
      <c r="B117" t="s">
        <v>476</v>
      </c>
      <c r="C117" t="s">
        <v>257</v>
      </c>
      <c r="D117" s="3">
        <v>0.121</v>
      </c>
      <c r="E117">
        <v>308</v>
      </c>
      <c r="F117" t="s">
        <v>241</v>
      </c>
    </row>
    <row r="118" spans="1:6" x14ac:dyDescent="0.3">
      <c r="A118" t="s">
        <v>477</v>
      </c>
      <c r="B118" t="s">
        <v>478</v>
      </c>
      <c r="C118" t="s">
        <v>278</v>
      </c>
      <c r="D118" s="3">
        <v>3.5999999999999997E-2</v>
      </c>
      <c r="E118">
        <v>70</v>
      </c>
      <c r="F118" t="s">
        <v>245</v>
      </c>
    </row>
    <row r="119" spans="1:6" x14ac:dyDescent="0.3">
      <c r="A119" t="s">
        <v>479</v>
      </c>
      <c r="B119" t="s">
        <v>480</v>
      </c>
      <c r="C119" t="s">
        <v>244</v>
      </c>
      <c r="D119" s="3">
        <v>1.7999999999999999E-2</v>
      </c>
      <c r="E119">
        <v>65</v>
      </c>
      <c r="F119" t="s">
        <v>245</v>
      </c>
    </row>
    <row r="120" spans="1:6" x14ac:dyDescent="0.3">
      <c r="A120" t="s">
        <v>481</v>
      </c>
      <c r="B120" t="s">
        <v>482</v>
      </c>
      <c r="C120" t="s">
        <v>240</v>
      </c>
      <c r="D120" s="3">
        <v>7.5999999999999998E-2</v>
      </c>
      <c r="E120">
        <v>147</v>
      </c>
      <c r="F120" t="s">
        <v>241</v>
      </c>
    </row>
    <row r="121" spans="1:6" x14ac:dyDescent="0.3">
      <c r="A121" t="s">
        <v>483</v>
      </c>
      <c r="B121" t="s">
        <v>484</v>
      </c>
      <c r="C121" t="s">
        <v>257</v>
      </c>
      <c r="D121" s="3">
        <v>0.111</v>
      </c>
      <c r="E121">
        <v>132</v>
      </c>
      <c r="F121" t="s">
        <v>241</v>
      </c>
    </row>
    <row r="122" spans="1:6" x14ac:dyDescent="0.3">
      <c r="A122" t="s">
        <v>485</v>
      </c>
      <c r="B122" t="s">
        <v>486</v>
      </c>
      <c r="C122" t="s">
        <v>244</v>
      </c>
      <c r="D122" s="3">
        <v>6.8000000000000005E-2</v>
      </c>
      <c r="E122">
        <v>136</v>
      </c>
      <c r="F122" t="s">
        <v>245</v>
      </c>
    </row>
    <row r="123" spans="1:6" x14ac:dyDescent="0.3">
      <c r="A123" t="s">
        <v>487</v>
      </c>
      <c r="B123" t="s">
        <v>488</v>
      </c>
      <c r="C123" t="s">
        <v>278</v>
      </c>
      <c r="D123" s="3">
        <v>5.2999999999999999E-2</v>
      </c>
      <c r="E123">
        <v>70</v>
      </c>
      <c r="F123" t="s">
        <v>245</v>
      </c>
    </row>
    <row r="124" spans="1:6" x14ac:dyDescent="0.3">
      <c r="A124" t="s">
        <v>489</v>
      </c>
      <c r="B124" t="s">
        <v>490</v>
      </c>
      <c r="C124" t="s">
        <v>278</v>
      </c>
      <c r="D124" s="3">
        <v>1.7000000000000001E-2</v>
      </c>
      <c r="E124">
        <v>66</v>
      </c>
      <c r="F124" t="s">
        <v>245</v>
      </c>
    </row>
    <row r="125" spans="1:6" x14ac:dyDescent="0.3">
      <c r="A125" t="s">
        <v>491</v>
      </c>
      <c r="B125" t="s">
        <v>492</v>
      </c>
      <c r="C125" t="s">
        <v>257</v>
      </c>
      <c r="D125" s="3">
        <v>7.3999999999999996E-2</v>
      </c>
      <c r="E125">
        <v>280</v>
      </c>
      <c r="F125" t="s">
        <v>241</v>
      </c>
    </row>
    <row r="126" spans="1:6" x14ac:dyDescent="0.3">
      <c r="A126" t="s">
        <v>493</v>
      </c>
      <c r="B126" t="s">
        <v>494</v>
      </c>
      <c r="C126" t="s">
        <v>252</v>
      </c>
      <c r="D126" s="3">
        <v>1.7999999999999999E-2</v>
      </c>
      <c r="E126">
        <v>42</v>
      </c>
      <c r="F126" t="s">
        <v>245</v>
      </c>
    </row>
    <row r="127" spans="1:6" x14ac:dyDescent="0.3">
      <c r="A127" t="s">
        <v>495</v>
      </c>
      <c r="B127" t="s">
        <v>496</v>
      </c>
      <c r="C127" t="s">
        <v>240</v>
      </c>
      <c r="D127" s="3">
        <v>0.04</v>
      </c>
      <c r="E127">
        <v>178</v>
      </c>
      <c r="F127" t="s">
        <v>245</v>
      </c>
    </row>
    <row r="128" spans="1:6" x14ac:dyDescent="0.3">
      <c r="A128" t="s">
        <v>497</v>
      </c>
      <c r="B128" t="s">
        <v>498</v>
      </c>
      <c r="C128" t="s">
        <v>244</v>
      </c>
      <c r="D128" s="3">
        <v>1.7000000000000001E-2</v>
      </c>
      <c r="E128">
        <v>102</v>
      </c>
      <c r="F128" t="s">
        <v>245</v>
      </c>
    </row>
    <row r="129" spans="1:6" x14ac:dyDescent="0.3">
      <c r="A129" t="s">
        <v>499</v>
      </c>
      <c r="B129" t="s">
        <v>500</v>
      </c>
      <c r="C129" t="s">
        <v>257</v>
      </c>
      <c r="D129" s="3">
        <v>0.13600000000000001</v>
      </c>
      <c r="E129">
        <v>153</v>
      </c>
      <c r="F129" t="s">
        <v>241</v>
      </c>
    </row>
    <row r="130" spans="1:6" x14ac:dyDescent="0.3">
      <c r="A130" t="s">
        <v>501</v>
      </c>
      <c r="B130" t="s">
        <v>502</v>
      </c>
      <c r="C130" t="s">
        <v>257</v>
      </c>
      <c r="D130" s="3">
        <v>9.9000000000000005E-2</v>
      </c>
      <c r="E130">
        <v>221</v>
      </c>
      <c r="F130" t="s">
        <v>241</v>
      </c>
    </row>
    <row r="131" spans="1:6" x14ac:dyDescent="0.3">
      <c r="A131" t="s">
        <v>503</v>
      </c>
      <c r="B131" t="s">
        <v>504</v>
      </c>
      <c r="C131" t="s">
        <v>244</v>
      </c>
      <c r="D131" s="3">
        <v>4.2000000000000003E-2</v>
      </c>
      <c r="E131">
        <v>115</v>
      </c>
      <c r="F131" t="s">
        <v>245</v>
      </c>
    </row>
    <row r="132" spans="1:6" x14ac:dyDescent="0.3">
      <c r="A132" t="s">
        <v>505</v>
      </c>
      <c r="B132" t="s">
        <v>506</v>
      </c>
      <c r="C132" t="s">
        <v>278</v>
      </c>
      <c r="D132" s="3">
        <v>1.6E-2</v>
      </c>
      <c r="E132">
        <v>66</v>
      </c>
      <c r="F132" t="s">
        <v>245</v>
      </c>
    </row>
    <row r="133" spans="1:6" x14ac:dyDescent="0.3">
      <c r="A133" t="s">
        <v>507</v>
      </c>
      <c r="B133" t="s">
        <v>508</v>
      </c>
      <c r="C133" t="s">
        <v>278</v>
      </c>
      <c r="D133" s="3">
        <v>4.8000000000000001E-2</v>
      </c>
      <c r="E133">
        <v>51</v>
      </c>
      <c r="F133" t="s">
        <v>245</v>
      </c>
    </row>
    <row r="134" spans="1:6" x14ac:dyDescent="0.3">
      <c r="A134" t="s">
        <v>509</v>
      </c>
      <c r="B134" t="s">
        <v>510</v>
      </c>
      <c r="C134" t="s">
        <v>257</v>
      </c>
      <c r="D134" s="3">
        <v>0.121</v>
      </c>
      <c r="E134">
        <v>147</v>
      </c>
      <c r="F134" t="s">
        <v>241</v>
      </c>
    </row>
    <row r="135" spans="1:6" x14ac:dyDescent="0.3">
      <c r="A135" t="s">
        <v>511</v>
      </c>
      <c r="B135" t="s">
        <v>512</v>
      </c>
      <c r="C135" t="s">
        <v>257</v>
      </c>
      <c r="D135" s="3">
        <v>0.124</v>
      </c>
      <c r="E135">
        <v>251</v>
      </c>
      <c r="F135" t="s">
        <v>241</v>
      </c>
    </row>
    <row r="136" spans="1:6" x14ac:dyDescent="0.3">
      <c r="A136" t="s">
        <v>513</v>
      </c>
      <c r="B136" t="s">
        <v>514</v>
      </c>
      <c r="C136" t="s">
        <v>252</v>
      </c>
      <c r="D136" s="3">
        <v>1.6E-2</v>
      </c>
      <c r="E136">
        <v>68</v>
      </c>
      <c r="F136" t="s">
        <v>245</v>
      </c>
    </row>
    <row r="137" spans="1:6" x14ac:dyDescent="0.3">
      <c r="A137" t="s">
        <v>515</v>
      </c>
      <c r="B137" t="s">
        <v>516</v>
      </c>
      <c r="C137" t="s">
        <v>252</v>
      </c>
      <c r="D137" s="3">
        <v>4.7E-2</v>
      </c>
      <c r="E137">
        <v>99</v>
      </c>
      <c r="F137" t="s">
        <v>245</v>
      </c>
    </row>
    <row r="138" spans="1:6" x14ac:dyDescent="0.3">
      <c r="A138" t="s">
        <v>517</v>
      </c>
      <c r="B138" t="s">
        <v>518</v>
      </c>
      <c r="C138" t="s">
        <v>257</v>
      </c>
      <c r="D138" s="3">
        <v>0.107</v>
      </c>
      <c r="E138">
        <v>195</v>
      </c>
      <c r="F138" t="s">
        <v>241</v>
      </c>
    </row>
    <row r="139" spans="1:6" x14ac:dyDescent="0.3">
      <c r="A139" t="s">
        <v>519</v>
      </c>
      <c r="B139" t="s">
        <v>520</v>
      </c>
      <c r="C139" t="s">
        <v>252</v>
      </c>
      <c r="D139" s="3">
        <v>0.02</v>
      </c>
      <c r="E139">
        <v>39</v>
      </c>
      <c r="F139" t="s">
        <v>245</v>
      </c>
    </row>
    <row r="140" spans="1:6" x14ac:dyDescent="0.3">
      <c r="A140" t="s">
        <v>521</v>
      </c>
      <c r="B140" t="s">
        <v>522</v>
      </c>
      <c r="C140" t="s">
        <v>240</v>
      </c>
      <c r="D140" s="3">
        <v>0.04</v>
      </c>
      <c r="E140">
        <v>124</v>
      </c>
      <c r="F140" t="s">
        <v>245</v>
      </c>
    </row>
    <row r="141" spans="1:6" x14ac:dyDescent="0.3">
      <c r="A141" t="s">
        <v>523</v>
      </c>
      <c r="B141" t="s">
        <v>524</v>
      </c>
      <c r="C141" t="s">
        <v>244</v>
      </c>
      <c r="D141" s="3">
        <v>2.4E-2</v>
      </c>
      <c r="E141">
        <v>38</v>
      </c>
      <c r="F141" t="s">
        <v>245</v>
      </c>
    </row>
    <row r="142" spans="1:6" x14ac:dyDescent="0.3">
      <c r="A142" t="s">
        <v>525</v>
      </c>
      <c r="B142" t="s">
        <v>526</v>
      </c>
      <c r="C142" t="s">
        <v>244</v>
      </c>
      <c r="D142" s="3">
        <v>5.2999999999999999E-2</v>
      </c>
      <c r="E142">
        <v>71</v>
      </c>
      <c r="F142" t="s">
        <v>245</v>
      </c>
    </row>
    <row r="143" spans="1:6" x14ac:dyDescent="0.3">
      <c r="A143" t="s">
        <v>527</v>
      </c>
      <c r="B143" t="s">
        <v>528</v>
      </c>
      <c r="C143" t="s">
        <v>257</v>
      </c>
      <c r="D143" s="3">
        <v>7.4999999999999997E-2</v>
      </c>
      <c r="E143">
        <v>178</v>
      </c>
      <c r="F143" t="s">
        <v>241</v>
      </c>
    </row>
    <row r="144" spans="1:6" x14ac:dyDescent="0.3">
      <c r="A144" t="s">
        <v>529</v>
      </c>
      <c r="B144" t="s">
        <v>530</v>
      </c>
      <c r="C144" t="s">
        <v>244</v>
      </c>
      <c r="D144" s="3">
        <v>4.8000000000000001E-2</v>
      </c>
      <c r="E144">
        <v>98</v>
      </c>
      <c r="F144" t="s">
        <v>245</v>
      </c>
    </row>
    <row r="145" spans="1:6" x14ac:dyDescent="0.3">
      <c r="A145" t="s">
        <v>531</v>
      </c>
      <c r="B145" t="s">
        <v>532</v>
      </c>
      <c r="C145" t="s">
        <v>244</v>
      </c>
      <c r="D145" s="3">
        <v>6.3E-2</v>
      </c>
      <c r="E145">
        <v>178</v>
      </c>
      <c r="F145" t="s">
        <v>245</v>
      </c>
    </row>
    <row r="146" spans="1:6" x14ac:dyDescent="0.3">
      <c r="A146" t="s">
        <v>533</v>
      </c>
      <c r="B146" t="s">
        <v>534</v>
      </c>
      <c r="C146" t="s">
        <v>257</v>
      </c>
      <c r="D146" s="3">
        <v>0.13900000000000001</v>
      </c>
      <c r="E146">
        <v>325</v>
      </c>
      <c r="F146" t="s">
        <v>241</v>
      </c>
    </row>
    <row r="147" spans="1:6" x14ac:dyDescent="0.3">
      <c r="A147" t="s">
        <v>535</v>
      </c>
      <c r="B147" t="s">
        <v>536</v>
      </c>
      <c r="C147" t="s">
        <v>244</v>
      </c>
      <c r="D147" s="3">
        <v>0.02</v>
      </c>
      <c r="E147">
        <v>115</v>
      </c>
      <c r="F147" t="s">
        <v>245</v>
      </c>
    </row>
    <row r="148" spans="1:6" x14ac:dyDescent="0.3">
      <c r="A148" t="s">
        <v>537</v>
      </c>
      <c r="B148" t="s">
        <v>538</v>
      </c>
      <c r="C148" t="s">
        <v>240</v>
      </c>
      <c r="D148" s="3">
        <v>0.06</v>
      </c>
      <c r="E148">
        <v>124</v>
      </c>
      <c r="F148" t="s">
        <v>245</v>
      </c>
    </row>
    <row r="149" spans="1:6" x14ac:dyDescent="0.3">
      <c r="A149" t="s">
        <v>539</v>
      </c>
      <c r="B149" t="s">
        <v>540</v>
      </c>
      <c r="C149" t="s">
        <v>278</v>
      </c>
      <c r="D149" s="3">
        <v>2.4E-2</v>
      </c>
      <c r="E149">
        <v>112</v>
      </c>
      <c r="F149" t="s">
        <v>245</v>
      </c>
    </row>
    <row r="150" spans="1:6" x14ac:dyDescent="0.3">
      <c r="A150" t="s">
        <v>541</v>
      </c>
      <c r="B150" t="s">
        <v>542</v>
      </c>
      <c r="C150" t="s">
        <v>252</v>
      </c>
      <c r="D150" s="3">
        <v>0.01</v>
      </c>
      <c r="E150">
        <v>102</v>
      </c>
      <c r="F150" t="s">
        <v>245</v>
      </c>
    </row>
    <row r="151" spans="1:6" x14ac:dyDescent="0.3">
      <c r="A151" t="s">
        <v>543</v>
      </c>
      <c r="B151" t="s">
        <v>544</v>
      </c>
      <c r="C151" t="s">
        <v>240</v>
      </c>
      <c r="D151" s="3">
        <v>5.3999999999999999E-2</v>
      </c>
      <c r="E151">
        <v>183</v>
      </c>
      <c r="F151" t="s">
        <v>245</v>
      </c>
    </row>
    <row r="152" spans="1:6" x14ac:dyDescent="0.3">
      <c r="A152" t="s">
        <v>545</v>
      </c>
      <c r="B152" t="s">
        <v>546</v>
      </c>
      <c r="C152" t="s">
        <v>240</v>
      </c>
      <c r="D152" s="3">
        <v>4.8000000000000001E-2</v>
      </c>
      <c r="E152">
        <v>145</v>
      </c>
      <c r="F152" t="s">
        <v>245</v>
      </c>
    </row>
    <row r="153" spans="1:6" x14ac:dyDescent="0.3">
      <c r="A153" t="s">
        <v>547</v>
      </c>
      <c r="B153" t="s">
        <v>548</v>
      </c>
      <c r="C153" t="s">
        <v>257</v>
      </c>
      <c r="D153" s="3">
        <v>5.6000000000000001E-2</v>
      </c>
      <c r="E153">
        <v>204</v>
      </c>
      <c r="F153" t="s">
        <v>245</v>
      </c>
    </row>
    <row r="154" spans="1:6" x14ac:dyDescent="0.3">
      <c r="A154" t="s">
        <v>549</v>
      </c>
      <c r="B154" t="s">
        <v>550</v>
      </c>
      <c r="C154" t="s">
        <v>240</v>
      </c>
      <c r="D154" s="3">
        <v>4.2000000000000003E-2</v>
      </c>
      <c r="E154">
        <v>150</v>
      </c>
      <c r="F154" t="s">
        <v>245</v>
      </c>
    </row>
    <row r="155" spans="1:6" x14ac:dyDescent="0.3">
      <c r="A155" t="s">
        <v>551</v>
      </c>
      <c r="B155" t="s">
        <v>552</v>
      </c>
      <c r="C155" t="s">
        <v>257</v>
      </c>
      <c r="D155" s="3">
        <v>0.105</v>
      </c>
      <c r="E155">
        <v>100</v>
      </c>
      <c r="F155" t="s">
        <v>241</v>
      </c>
    </row>
    <row r="156" spans="1:6" x14ac:dyDescent="0.3">
      <c r="A156" t="s">
        <v>553</v>
      </c>
      <c r="B156" t="s">
        <v>554</v>
      </c>
      <c r="C156" t="s">
        <v>244</v>
      </c>
      <c r="D156" s="3">
        <v>5.5E-2</v>
      </c>
      <c r="E156">
        <v>106</v>
      </c>
      <c r="F156" t="s">
        <v>245</v>
      </c>
    </row>
    <row r="157" spans="1:6" x14ac:dyDescent="0.3">
      <c r="A157" t="s">
        <v>555</v>
      </c>
      <c r="B157" t="s">
        <v>556</v>
      </c>
      <c r="C157" t="s">
        <v>240</v>
      </c>
      <c r="D157" s="3">
        <v>3.7999999999999999E-2</v>
      </c>
      <c r="E157">
        <v>88</v>
      </c>
      <c r="F157" t="s">
        <v>245</v>
      </c>
    </row>
    <row r="158" spans="1:6" x14ac:dyDescent="0.3">
      <c r="A158" t="s">
        <v>557</v>
      </c>
      <c r="B158" t="s">
        <v>558</v>
      </c>
      <c r="C158" t="s">
        <v>244</v>
      </c>
      <c r="D158" s="3">
        <v>4.1000000000000002E-2</v>
      </c>
      <c r="E158">
        <v>104</v>
      </c>
      <c r="F158" t="s">
        <v>245</v>
      </c>
    </row>
    <row r="159" spans="1:6" x14ac:dyDescent="0.3">
      <c r="A159" t="s">
        <v>559</v>
      </c>
      <c r="B159" t="s">
        <v>560</v>
      </c>
      <c r="C159" t="s">
        <v>240</v>
      </c>
      <c r="D159" s="3">
        <v>6.4000000000000001E-2</v>
      </c>
      <c r="E159">
        <v>107</v>
      </c>
      <c r="F159" t="s">
        <v>245</v>
      </c>
    </row>
    <row r="160" spans="1:6" x14ac:dyDescent="0.3">
      <c r="A160" t="s">
        <v>561</v>
      </c>
      <c r="B160" t="s">
        <v>562</v>
      </c>
      <c r="C160" t="s">
        <v>252</v>
      </c>
      <c r="D160" s="3">
        <v>4.1000000000000002E-2</v>
      </c>
      <c r="E160">
        <v>71</v>
      </c>
      <c r="F160" t="s">
        <v>245</v>
      </c>
    </row>
    <row r="161" spans="1:6" x14ac:dyDescent="0.3">
      <c r="A161" t="s">
        <v>563</v>
      </c>
      <c r="B161" t="s">
        <v>564</v>
      </c>
      <c r="C161" t="s">
        <v>257</v>
      </c>
      <c r="D161" s="3">
        <v>0.11600000000000001</v>
      </c>
      <c r="E161">
        <v>302</v>
      </c>
      <c r="F161" t="s">
        <v>241</v>
      </c>
    </row>
    <row r="162" spans="1:6" x14ac:dyDescent="0.3">
      <c r="A162" t="s">
        <v>565</v>
      </c>
      <c r="B162" t="s">
        <v>566</v>
      </c>
      <c r="C162" t="s">
        <v>244</v>
      </c>
      <c r="D162" s="3">
        <v>1.6E-2</v>
      </c>
      <c r="E162">
        <v>116</v>
      </c>
      <c r="F162" t="s">
        <v>245</v>
      </c>
    </row>
    <row r="163" spans="1:6" x14ac:dyDescent="0.3">
      <c r="A163" t="s">
        <v>567</v>
      </c>
      <c r="B163" t="s">
        <v>568</v>
      </c>
      <c r="C163" t="s">
        <v>252</v>
      </c>
      <c r="D163" s="3">
        <v>0.04</v>
      </c>
      <c r="E163">
        <v>42</v>
      </c>
      <c r="F163" t="s">
        <v>245</v>
      </c>
    </row>
    <row r="164" spans="1:6" x14ac:dyDescent="0.3">
      <c r="A164" t="s">
        <v>569</v>
      </c>
      <c r="B164" t="s">
        <v>570</v>
      </c>
      <c r="C164" t="s">
        <v>257</v>
      </c>
      <c r="D164" s="3">
        <v>0.14899999999999999</v>
      </c>
      <c r="E164">
        <v>140</v>
      </c>
      <c r="F164" t="s">
        <v>241</v>
      </c>
    </row>
    <row r="165" spans="1:6" x14ac:dyDescent="0.3">
      <c r="A165" t="s">
        <v>571</v>
      </c>
      <c r="B165" t="s">
        <v>572</v>
      </c>
      <c r="C165" t="s">
        <v>257</v>
      </c>
      <c r="D165" s="3">
        <v>8.4000000000000005E-2</v>
      </c>
      <c r="E165">
        <v>226</v>
      </c>
      <c r="F165" t="s">
        <v>241</v>
      </c>
    </row>
    <row r="166" spans="1:6" x14ac:dyDescent="0.3">
      <c r="A166" t="s">
        <v>573</v>
      </c>
      <c r="B166" t="s">
        <v>574</v>
      </c>
      <c r="C166" t="s">
        <v>257</v>
      </c>
      <c r="D166" s="3">
        <v>5.6000000000000001E-2</v>
      </c>
      <c r="E166">
        <v>254</v>
      </c>
      <c r="F166" t="s">
        <v>245</v>
      </c>
    </row>
    <row r="167" spans="1:6" x14ac:dyDescent="0.3">
      <c r="A167" t="s">
        <v>575</v>
      </c>
      <c r="B167" t="s">
        <v>576</v>
      </c>
      <c r="C167" t="s">
        <v>252</v>
      </c>
      <c r="D167" s="3">
        <v>2.5999999999999999E-2</v>
      </c>
      <c r="E167">
        <v>77</v>
      </c>
      <c r="F167" t="s">
        <v>245</v>
      </c>
    </row>
    <row r="168" spans="1:6" x14ac:dyDescent="0.3">
      <c r="A168" t="s">
        <v>577</v>
      </c>
      <c r="B168" t="s">
        <v>578</v>
      </c>
      <c r="C168" t="s">
        <v>252</v>
      </c>
      <c r="D168" s="3">
        <v>2.9000000000000001E-2</v>
      </c>
      <c r="E168">
        <v>75</v>
      </c>
      <c r="F168" t="s">
        <v>245</v>
      </c>
    </row>
    <row r="169" spans="1:6" x14ac:dyDescent="0.3">
      <c r="A169" t="s">
        <v>579</v>
      </c>
      <c r="B169" t="s">
        <v>580</v>
      </c>
      <c r="C169" t="s">
        <v>240</v>
      </c>
      <c r="D169" s="3">
        <v>2.4E-2</v>
      </c>
      <c r="E169">
        <v>83</v>
      </c>
      <c r="F169" t="s">
        <v>245</v>
      </c>
    </row>
    <row r="170" spans="1:6" x14ac:dyDescent="0.3">
      <c r="A170" t="s">
        <v>581</v>
      </c>
      <c r="B170" t="s">
        <v>582</v>
      </c>
      <c r="C170" t="s">
        <v>257</v>
      </c>
      <c r="D170" s="3">
        <v>5.6000000000000001E-2</v>
      </c>
      <c r="E170">
        <v>234</v>
      </c>
      <c r="F170" t="s">
        <v>245</v>
      </c>
    </row>
    <row r="171" spans="1:6" x14ac:dyDescent="0.3">
      <c r="A171" t="s">
        <v>583</v>
      </c>
      <c r="B171" t="s">
        <v>584</v>
      </c>
      <c r="C171" t="s">
        <v>240</v>
      </c>
      <c r="D171" s="3">
        <v>5.3999999999999999E-2</v>
      </c>
      <c r="E171">
        <v>146</v>
      </c>
      <c r="F171" t="s">
        <v>245</v>
      </c>
    </row>
    <row r="172" spans="1:6" x14ac:dyDescent="0.3">
      <c r="A172" t="s">
        <v>585</v>
      </c>
      <c r="B172" t="s">
        <v>586</v>
      </c>
      <c r="C172" t="s">
        <v>252</v>
      </c>
      <c r="D172" s="3">
        <v>2.8000000000000001E-2</v>
      </c>
      <c r="E172">
        <v>42</v>
      </c>
      <c r="F172" t="s">
        <v>245</v>
      </c>
    </row>
    <row r="173" spans="1:6" x14ac:dyDescent="0.3">
      <c r="A173" t="s">
        <v>587</v>
      </c>
      <c r="B173" t="s">
        <v>588</v>
      </c>
      <c r="C173" t="s">
        <v>240</v>
      </c>
      <c r="D173" s="3">
        <v>3.7999999999999999E-2</v>
      </c>
      <c r="E173">
        <v>112</v>
      </c>
      <c r="F173" t="s">
        <v>245</v>
      </c>
    </row>
    <row r="174" spans="1:6" x14ac:dyDescent="0.3">
      <c r="A174" t="s">
        <v>589</v>
      </c>
      <c r="B174" t="s">
        <v>590</v>
      </c>
      <c r="C174" t="s">
        <v>244</v>
      </c>
      <c r="D174" s="3">
        <v>4.1000000000000002E-2</v>
      </c>
      <c r="E174">
        <v>194</v>
      </c>
      <c r="F174" t="s">
        <v>245</v>
      </c>
    </row>
    <row r="175" spans="1:6" x14ac:dyDescent="0.3">
      <c r="A175" t="s">
        <v>591</v>
      </c>
      <c r="B175" t="s">
        <v>592</v>
      </c>
      <c r="C175" t="s">
        <v>240</v>
      </c>
      <c r="D175" s="3">
        <v>5.5E-2</v>
      </c>
      <c r="E175">
        <v>103</v>
      </c>
      <c r="F175" t="s">
        <v>245</v>
      </c>
    </row>
    <row r="176" spans="1:6" x14ac:dyDescent="0.3">
      <c r="A176" t="s">
        <v>593</v>
      </c>
      <c r="B176" t="s">
        <v>594</v>
      </c>
      <c r="C176" t="s">
        <v>252</v>
      </c>
      <c r="D176" s="3">
        <v>1.2999999999999999E-2</v>
      </c>
      <c r="E176">
        <v>44</v>
      </c>
      <c r="F176" t="s">
        <v>245</v>
      </c>
    </row>
    <row r="177" spans="1:6" x14ac:dyDescent="0.3">
      <c r="A177" t="s">
        <v>595</v>
      </c>
      <c r="B177" t="s">
        <v>596</v>
      </c>
      <c r="C177" t="s">
        <v>252</v>
      </c>
      <c r="D177" s="3">
        <v>2.1000000000000001E-2</v>
      </c>
      <c r="E177">
        <v>38</v>
      </c>
      <c r="F177" t="s">
        <v>245</v>
      </c>
    </row>
    <row r="178" spans="1:6" x14ac:dyDescent="0.3">
      <c r="A178" t="s">
        <v>597</v>
      </c>
      <c r="B178" t="s">
        <v>598</v>
      </c>
      <c r="C178" t="s">
        <v>240</v>
      </c>
      <c r="D178" s="3">
        <v>3.4000000000000002E-2</v>
      </c>
      <c r="E178">
        <v>114</v>
      </c>
      <c r="F178" t="s">
        <v>245</v>
      </c>
    </row>
    <row r="179" spans="1:6" x14ac:dyDescent="0.3">
      <c r="A179" t="s">
        <v>599</v>
      </c>
      <c r="B179" t="s">
        <v>600</v>
      </c>
      <c r="C179" t="s">
        <v>257</v>
      </c>
      <c r="D179" s="3">
        <v>5.2999999999999999E-2</v>
      </c>
      <c r="E179">
        <v>166</v>
      </c>
      <c r="F179" t="s">
        <v>245</v>
      </c>
    </row>
    <row r="180" spans="1:6" x14ac:dyDescent="0.3">
      <c r="A180" t="s">
        <v>601</v>
      </c>
      <c r="B180" t="s">
        <v>602</v>
      </c>
      <c r="C180" t="s">
        <v>278</v>
      </c>
      <c r="D180" s="3">
        <v>3.6999999999999998E-2</v>
      </c>
      <c r="E180">
        <v>131</v>
      </c>
      <c r="F180" t="s">
        <v>245</v>
      </c>
    </row>
    <row r="181" spans="1:6" x14ac:dyDescent="0.3">
      <c r="A181" t="s">
        <v>603</v>
      </c>
      <c r="B181" t="s">
        <v>604</v>
      </c>
      <c r="C181" t="s">
        <v>244</v>
      </c>
      <c r="D181" s="3">
        <v>2.7E-2</v>
      </c>
      <c r="E181">
        <v>85</v>
      </c>
      <c r="F181" t="s">
        <v>245</v>
      </c>
    </row>
    <row r="182" spans="1:6" x14ac:dyDescent="0.3">
      <c r="A182" t="s">
        <v>605</v>
      </c>
      <c r="B182" t="s">
        <v>606</v>
      </c>
      <c r="C182" t="s">
        <v>257</v>
      </c>
      <c r="D182" s="3">
        <v>8.7999999999999995E-2</v>
      </c>
      <c r="E182">
        <v>120</v>
      </c>
      <c r="F182" t="s">
        <v>241</v>
      </c>
    </row>
    <row r="183" spans="1:6" x14ac:dyDescent="0.3">
      <c r="A183" t="s">
        <v>607</v>
      </c>
      <c r="B183" t="s">
        <v>608</v>
      </c>
      <c r="C183" t="s">
        <v>257</v>
      </c>
      <c r="D183" s="3">
        <v>6.9000000000000006E-2</v>
      </c>
      <c r="E183">
        <v>163</v>
      </c>
      <c r="F183" t="s">
        <v>245</v>
      </c>
    </row>
    <row r="184" spans="1:6" x14ac:dyDescent="0.3">
      <c r="A184" t="s">
        <v>609</v>
      </c>
      <c r="B184" t="s">
        <v>610</v>
      </c>
      <c r="C184" t="s">
        <v>244</v>
      </c>
      <c r="D184" s="3">
        <v>4.8000000000000001E-2</v>
      </c>
      <c r="E184">
        <v>95</v>
      </c>
      <c r="F184" t="s">
        <v>245</v>
      </c>
    </row>
    <row r="185" spans="1:6" x14ac:dyDescent="0.3">
      <c r="A185" t="s">
        <v>611</v>
      </c>
      <c r="B185" t="s">
        <v>612</v>
      </c>
      <c r="C185" t="s">
        <v>252</v>
      </c>
      <c r="D185" s="3">
        <v>4.9000000000000002E-2</v>
      </c>
      <c r="E185">
        <v>105</v>
      </c>
      <c r="F185" t="s">
        <v>245</v>
      </c>
    </row>
    <row r="186" spans="1:6" x14ac:dyDescent="0.3">
      <c r="A186" t="s">
        <v>613</v>
      </c>
      <c r="B186" t="s">
        <v>614</v>
      </c>
      <c r="C186" t="s">
        <v>257</v>
      </c>
      <c r="D186" s="3">
        <v>0.08</v>
      </c>
      <c r="E186">
        <v>393</v>
      </c>
      <c r="F186" t="s">
        <v>241</v>
      </c>
    </row>
    <row r="187" spans="1:6" x14ac:dyDescent="0.3">
      <c r="A187" t="s">
        <v>615</v>
      </c>
      <c r="B187" t="s">
        <v>616</v>
      </c>
      <c r="C187" t="s">
        <v>240</v>
      </c>
      <c r="D187" s="3">
        <v>5.8999999999999997E-2</v>
      </c>
      <c r="E187">
        <v>76</v>
      </c>
      <c r="F187" t="s">
        <v>245</v>
      </c>
    </row>
    <row r="188" spans="1:6" x14ac:dyDescent="0.3">
      <c r="A188" t="s">
        <v>617</v>
      </c>
      <c r="B188" t="s">
        <v>618</v>
      </c>
      <c r="C188" t="s">
        <v>257</v>
      </c>
      <c r="D188" s="3">
        <v>6.8000000000000005E-2</v>
      </c>
      <c r="E188">
        <v>396</v>
      </c>
      <c r="F188" t="s">
        <v>245</v>
      </c>
    </row>
    <row r="189" spans="1:6" x14ac:dyDescent="0.3">
      <c r="A189" t="s">
        <v>619</v>
      </c>
      <c r="B189" t="s">
        <v>620</v>
      </c>
      <c r="C189" t="s">
        <v>257</v>
      </c>
      <c r="D189" s="3">
        <v>0.13600000000000001</v>
      </c>
      <c r="E189">
        <v>180</v>
      </c>
      <c r="F189" t="s">
        <v>241</v>
      </c>
    </row>
    <row r="190" spans="1:6" x14ac:dyDescent="0.3">
      <c r="A190" t="s">
        <v>621</v>
      </c>
      <c r="B190" t="s">
        <v>622</v>
      </c>
      <c r="C190" t="s">
        <v>244</v>
      </c>
      <c r="D190" s="3">
        <v>7.0000000000000007E-2</v>
      </c>
      <c r="E190">
        <v>126</v>
      </c>
      <c r="F190" t="s">
        <v>245</v>
      </c>
    </row>
    <row r="191" spans="1:6" x14ac:dyDescent="0.3">
      <c r="A191" t="s">
        <v>623</v>
      </c>
      <c r="B191" t="s">
        <v>624</v>
      </c>
      <c r="C191" t="s">
        <v>278</v>
      </c>
      <c r="D191" s="3">
        <v>3.2000000000000001E-2</v>
      </c>
      <c r="E191">
        <v>51</v>
      </c>
      <c r="F191" t="s">
        <v>245</v>
      </c>
    </row>
    <row r="192" spans="1:6" x14ac:dyDescent="0.3">
      <c r="A192" t="s">
        <v>625</v>
      </c>
      <c r="B192" t="s">
        <v>626</v>
      </c>
      <c r="C192" t="s">
        <v>252</v>
      </c>
      <c r="D192" s="3">
        <v>2.1999999999999999E-2</v>
      </c>
      <c r="E192">
        <v>44</v>
      </c>
      <c r="F192" t="s">
        <v>245</v>
      </c>
    </row>
    <row r="193" spans="1:6" x14ac:dyDescent="0.3">
      <c r="A193" t="s">
        <v>627</v>
      </c>
      <c r="B193" t="s">
        <v>628</v>
      </c>
      <c r="C193" t="s">
        <v>252</v>
      </c>
      <c r="D193" s="3">
        <v>3.6999999999999998E-2</v>
      </c>
      <c r="E193">
        <v>32</v>
      </c>
      <c r="F193" t="s">
        <v>245</v>
      </c>
    </row>
    <row r="194" spans="1:6" x14ac:dyDescent="0.3">
      <c r="A194" t="s">
        <v>629</v>
      </c>
      <c r="B194" t="s">
        <v>630</v>
      </c>
      <c r="C194" t="s">
        <v>240</v>
      </c>
      <c r="D194" s="3">
        <v>6.0999999999999999E-2</v>
      </c>
      <c r="E194">
        <v>176</v>
      </c>
      <c r="F194" t="s">
        <v>245</v>
      </c>
    </row>
    <row r="195" spans="1:6" x14ac:dyDescent="0.3">
      <c r="A195" t="s">
        <v>631</v>
      </c>
      <c r="B195" t="s">
        <v>632</v>
      </c>
      <c r="C195" t="s">
        <v>240</v>
      </c>
      <c r="D195" s="3">
        <v>2.7E-2</v>
      </c>
      <c r="E195">
        <v>94</v>
      </c>
      <c r="F195" t="s">
        <v>245</v>
      </c>
    </row>
    <row r="196" spans="1:6" x14ac:dyDescent="0.3">
      <c r="A196" t="s">
        <v>633</v>
      </c>
      <c r="B196" t="s">
        <v>634</v>
      </c>
      <c r="C196" t="s">
        <v>244</v>
      </c>
      <c r="D196" s="3">
        <v>5.8000000000000003E-2</v>
      </c>
      <c r="E196">
        <v>111</v>
      </c>
      <c r="F196" t="s">
        <v>245</v>
      </c>
    </row>
    <row r="197" spans="1:6" x14ac:dyDescent="0.3">
      <c r="A197" t="s">
        <v>635</v>
      </c>
      <c r="B197" t="s">
        <v>636</v>
      </c>
      <c r="C197" t="s">
        <v>244</v>
      </c>
      <c r="D197" s="3">
        <v>3.7999999999999999E-2</v>
      </c>
      <c r="E197">
        <v>133</v>
      </c>
      <c r="F197" t="s">
        <v>245</v>
      </c>
    </row>
    <row r="198" spans="1:6" x14ac:dyDescent="0.3">
      <c r="A198" t="s">
        <v>637</v>
      </c>
      <c r="B198" t="s">
        <v>638</v>
      </c>
      <c r="C198" t="s">
        <v>244</v>
      </c>
      <c r="D198" s="3">
        <v>1.9E-2</v>
      </c>
      <c r="E198">
        <v>83</v>
      </c>
      <c r="F198" t="s">
        <v>245</v>
      </c>
    </row>
    <row r="199" spans="1:6" x14ac:dyDescent="0.3">
      <c r="A199" t="s">
        <v>639</v>
      </c>
      <c r="B199" t="s">
        <v>640</v>
      </c>
      <c r="C199" t="s">
        <v>278</v>
      </c>
      <c r="D199" s="3">
        <v>2.4E-2</v>
      </c>
      <c r="E199">
        <v>96</v>
      </c>
      <c r="F199" t="s">
        <v>245</v>
      </c>
    </row>
    <row r="200" spans="1:6" x14ac:dyDescent="0.3">
      <c r="A200" t="s">
        <v>641</v>
      </c>
      <c r="B200" t="s">
        <v>642</v>
      </c>
      <c r="C200" t="s">
        <v>278</v>
      </c>
      <c r="D200" s="3">
        <v>2.5999999999999999E-2</v>
      </c>
      <c r="E200">
        <v>68</v>
      </c>
      <c r="F200" t="s">
        <v>245</v>
      </c>
    </row>
    <row r="201" spans="1:6" x14ac:dyDescent="0.3">
      <c r="A201" t="s">
        <v>643</v>
      </c>
      <c r="B201" t="s">
        <v>644</v>
      </c>
      <c r="C201" t="s">
        <v>252</v>
      </c>
      <c r="D201" s="3">
        <v>0.03</v>
      </c>
      <c r="E201">
        <v>26</v>
      </c>
      <c r="F201" t="s">
        <v>245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E01D3-A57F-4E25-864B-D54FFA862832}">
  <dimension ref="A1:F201"/>
  <sheetViews>
    <sheetView topLeftCell="A2" workbookViewId="0">
      <selection activeCell="C7" sqref="C7"/>
    </sheetView>
  </sheetViews>
  <sheetFormatPr defaultColWidth="26.77734375" defaultRowHeight="14.4" x14ac:dyDescent="0.3"/>
  <sheetData>
    <row r="1" spans="1:6" x14ac:dyDescent="0.3">
      <c r="A1" t="s">
        <v>21</v>
      </c>
      <c r="B1" t="s">
        <v>22</v>
      </c>
      <c r="C1" t="s">
        <v>11</v>
      </c>
      <c r="D1" t="s">
        <v>23</v>
      </c>
      <c r="E1" t="s">
        <v>24</v>
      </c>
    </row>
    <row r="2" spans="1:6" x14ac:dyDescent="0.3">
      <c r="A2" t="s">
        <v>25</v>
      </c>
      <c r="B2" s="2">
        <v>46045</v>
      </c>
      <c r="C2" t="s">
        <v>26</v>
      </c>
      <c r="D2" t="s">
        <v>27</v>
      </c>
      <c r="E2">
        <v>44</v>
      </c>
    </row>
    <row r="3" spans="1:6" x14ac:dyDescent="0.3">
      <c r="A3" t="s">
        <v>28</v>
      </c>
      <c r="B3" s="2">
        <v>46083</v>
      </c>
      <c r="C3" t="s">
        <v>29</v>
      </c>
      <c r="D3" t="s">
        <v>30</v>
      </c>
      <c r="E3">
        <v>52</v>
      </c>
    </row>
    <row r="4" spans="1:6" x14ac:dyDescent="0.3">
      <c r="A4" t="s">
        <v>31</v>
      </c>
      <c r="B4" s="2">
        <v>46066</v>
      </c>
      <c r="C4" t="s">
        <v>32</v>
      </c>
      <c r="D4" t="s">
        <v>27</v>
      </c>
      <c r="E4">
        <v>11</v>
      </c>
    </row>
    <row r="5" spans="1:6" x14ac:dyDescent="0.3">
      <c r="A5" t="s">
        <v>33</v>
      </c>
      <c r="B5" s="2">
        <v>46291</v>
      </c>
      <c r="C5" t="s">
        <v>34</v>
      </c>
      <c r="D5" t="s">
        <v>35</v>
      </c>
      <c r="E5">
        <v>42</v>
      </c>
      <c r="F5" t="s">
        <v>237</v>
      </c>
    </row>
    <row r="6" spans="1:6" x14ac:dyDescent="0.3">
      <c r="A6" t="s">
        <v>36</v>
      </c>
      <c r="B6" s="2">
        <v>46264</v>
      </c>
      <c r="C6" t="s">
        <v>37</v>
      </c>
      <c r="D6" t="s">
        <v>38</v>
      </c>
      <c r="E6">
        <v>36</v>
      </c>
    </row>
    <row r="7" spans="1:6" x14ac:dyDescent="0.3">
      <c r="A7" t="s">
        <v>39</v>
      </c>
      <c r="B7" s="2">
        <v>46292</v>
      </c>
      <c r="C7" t="s">
        <v>26</v>
      </c>
      <c r="D7" t="s">
        <v>27</v>
      </c>
      <c r="E7">
        <v>38</v>
      </c>
    </row>
    <row r="8" spans="1:6" x14ac:dyDescent="0.3">
      <c r="A8" t="s">
        <v>40</v>
      </c>
      <c r="B8" s="2">
        <v>46106</v>
      </c>
      <c r="C8" t="s">
        <v>26</v>
      </c>
      <c r="D8" t="s">
        <v>41</v>
      </c>
      <c r="E8">
        <v>80</v>
      </c>
    </row>
    <row r="9" spans="1:6" x14ac:dyDescent="0.3">
      <c r="A9" t="s">
        <v>42</v>
      </c>
      <c r="B9" s="2">
        <v>46247</v>
      </c>
      <c r="C9" t="s">
        <v>37</v>
      </c>
      <c r="D9" t="s">
        <v>27</v>
      </c>
      <c r="E9">
        <v>24</v>
      </c>
    </row>
    <row r="10" spans="1:6" x14ac:dyDescent="0.3">
      <c r="A10" t="s">
        <v>43</v>
      </c>
      <c r="B10" s="2">
        <v>46346</v>
      </c>
      <c r="C10" t="s">
        <v>37</v>
      </c>
      <c r="D10" t="s">
        <v>44</v>
      </c>
      <c r="E10">
        <v>30</v>
      </c>
    </row>
    <row r="11" spans="1:6" x14ac:dyDescent="0.3">
      <c r="A11" t="s">
        <v>45</v>
      </c>
      <c r="B11" s="2">
        <v>46293</v>
      </c>
      <c r="C11" t="s">
        <v>29</v>
      </c>
      <c r="D11" t="s">
        <v>38</v>
      </c>
      <c r="E11">
        <v>33</v>
      </c>
    </row>
    <row r="12" spans="1:6" x14ac:dyDescent="0.3">
      <c r="A12" t="s">
        <v>46</v>
      </c>
      <c r="B12" s="2">
        <v>46184</v>
      </c>
      <c r="C12" t="s">
        <v>29</v>
      </c>
      <c r="D12" t="s">
        <v>47</v>
      </c>
      <c r="E12">
        <v>34</v>
      </c>
    </row>
    <row r="13" spans="1:6" x14ac:dyDescent="0.3">
      <c r="A13" t="s">
        <v>48</v>
      </c>
      <c r="B13" s="2">
        <v>46141</v>
      </c>
      <c r="C13" t="s">
        <v>26</v>
      </c>
      <c r="D13" t="s">
        <v>41</v>
      </c>
      <c r="E13">
        <v>81</v>
      </c>
    </row>
    <row r="14" spans="1:6" x14ac:dyDescent="0.3">
      <c r="A14" t="s">
        <v>49</v>
      </c>
      <c r="B14" s="2">
        <v>46354</v>
      </c>
      <c r="C14" t="s">
        <v>29</v>
      </c>
      <c r="D14" t="s">
        <v>47</v>
      </c>
      <c r="E14">
        <v>32</v>
      </c>
    </row>
    <row r="15" spans="1:6" x14ac:dyDescent="0.3">
      <c r="A15" t="s">
        <v>50</v>
      </c>
      <c r="B15" s="2">
        <v>46201</v>
      </c>
      <c r="C15" t="s">
        <v>37</v>
      </c>
      <c r="D15" t="s">
        <v>30</v>
      </c>
      <c r="E15">
        <v>60</v>
      </c>
    </row>
    <row r="16" spans="1:6" x14ac:dyDescent="0.3">
      <c r="A16" t="s">
        <v>51</v>
      </c>
      <c r="B16" s="2">
        <v>46189</v>
      </c>
      <c r="C16" t="s">
        <v>26</v>
      </c>
      <c r="D16" t="s">
        <v>35</v>
      </c>
      <c r="E16">
        <v>51</v>
      </c>
    </row>
    <row r="17" spans="1:5" x14ac:dyDescent="0.3">
      <c r="A17" t="s">
        <v>52</v>
      </c>
      <c r="B17" s="2">
        <v>46030</v>
      </c>
      <c r="C17" t="s">
        <v>37</v>
      </c>
      <c r="D17" t="s">
        <v>38</v>
      </c>
      <c r="E17">
        <v>50</v>
      </c>
    </row>
    <row r="18" spans="1:5" x14ac:dyDescent="0.3">
      <c r="A18" t="s">
        <v>53</v>
      </c>
      <c r="B18" s="2">
        <v>46035</v>
      </c>
      <c r="C18" t="s">
        <v>32</v>
      </c>
      <c r="D18" t="s">
        <v>38</v>
      </c>
      <c r="E18">
        <v>27</v>
      </c>
    </row>
    <row r="19" spans="1:5" x14ac:dyDescent="0.3">
      <c r="A19" t="s">
        <v>54</v>
      </c>
      <c r="B19" s="2">
        <v>46218</v>
      </c>
      <c r="C19" t="s">
        <v>26</v>
      </c>
      <c r="D19" t="s">
        <v>30</v>
      </c>
      <c r="E19">
        <v>178</v>
      </c>
    </row>
    <row r="20" spans="1:5" x14ac:dyDescent="0.3">
      <c r="A20" t="s">
        <v>55</v>
      </c>
      <c r="B20" s="2">
        <v>46362</v>
      </c>
      <c r="C20" t="s">
        <v>32</v>
      </c>
      <c r="D20" t="s">
        <v>44</v>
      </c>
      <c r="E20">
        <v>53</v>
      </c>
    </row>
    <row r="21" spans="1:5" x14ac:dyDescent="0.3">
      <c r="A21" t="s">
        <v>56</v>
      </c>
      <c r="B21" s="2">
        <v>46329</v>
      </c>
      <c r="C21" t="s">
        <v>32</v>
      </c>
      <c r="D21" t="s">
        <v>35</v>
      </c>
      <c r="E21">
        <v>58</v>
      </c>
    </row>
    <row r="22" spans="1:5" x14ac:dyDescent="0.3">
      <c r="A22" t="s">
        <v>57</v>
      </c>
      <c r="B22" s="2">
        <v>46324</v>
      </c>
      <c r="C22" t="s">
        <v>37</v>
      </c>
      <c r="D22" t="s">
        <v>30</v>
      </c>
      <c r="E22">
        <v>140</v>
      </c>
    </row>
    <row r="23" spans="1:5" x14ac:dyDescent="0.3">
      <c r="A23" t="s">
        <v>58</v>
      </c>
      <c r="B23" s="2">
        <v>46061</v>
      </c>
      <c r="C23" t="s">
        <v>26</v>
      </c>
      <c r="D23" t="s">
        <v>30</v>
      </c>
      <c r="E23">
        <v>123</v>
      </c>
    </row>
    <row r="24" spans="1:5" x14ac:dyDescent="0.3">
      <c r="A24" t="s">
        <v>59</v>
      </c>
      <c r="B24" s="2">
        <v>46224</v>
      </c>
      <c r="C24" t="s">
        <v>26</v>
      </c>
      <c r="D24" t="s">
        <v>27</v>
      </c>
      <c r="E24">
        <v>25</v>
      </c>
    </row>
    <row r="25" spans="1:5" x14ac:dyDescent="0.3">
      <c r="A25" t="s">
        <v>60</v>
      </c>
      <c r="B25" s="2">
        <v>46138</v>
      </c>
      <c r="C25" t="s">
        <v>29</v>
      </c>
      <c r="D25" t="s">
        <v>35</v>
      </c>
      <c r="E25">
        <v>37</v>
      </c>
    </row>
    <row r="26" spans="1:5" x14ac:dyDescent="0.3">
      <c r="A26" t="s">
        <v>61</v>
      </c>
      <c r="B26" s="2">
        <v>46229</v>
      </c>
      <c r="C26" t="s">
        <v>37</v>
      </c>
      <c r="D26" t="s">
        <v>41</v>
      </c>
      <c r="E26">
        <v>56</v>
      </c>
    </row>
    <row r="27" spans="1:5" x14ac:dyDescent="0.3">
      <c r="A27" t="s">
        <v>62</v>
      </c>
      <c r="B27" s="2">
        <v>46067</v>
      </c>
      <c r="C27" t="s">
        <v>29</v>
      </c>
      <c r="D27" t="s">
        <v>41</v>
      </c>
      <c r="E27">
        <v>25</v>
      </c>
    </row>
    <row r="28" spans="1:5" x14ac:dyDescent="0.3">
      <c r="A28" t="s">
        <v>63</v>
      </c>
      <c r="B28" s="2">
        <v>46024</v>
      </c>
      <c r="C28" t="s">
        <v>29</v>
      </c>
      <c r="D28" t="s">
        <v>44</v>
      </c>
      <c r="E28">
        <v>47</v>
      </c>
    </row>
    <row r="29" spans="1:5" x14ac:dyDescent="0.3">
      <c r="A29" t="s">
        <v>64</v>
      </c>
      <c r="B29" s="2">
        <v>46246</v>
      </c>
      <c r="C29" t="s">
        <v>26</v>
      </c>
      <c r="D29" t="s">
        <v>41</v>
      </c>
      <c r="E29">
        <v>20</v>
      </c>
    </row>
    <row r="30" spans="1:5" x14ac:dyDescent="0.3">
      <c r="A30" t="s">
        <v>65</v>
      </c>
      <c r="B30" s="2">
        <v>46170</v>
      </c>
      <c r="C30" t="s">
        <v>26</v>
      </c>
      <c r="D30" t="s">
        <v>35</v>
      </c>
      <c r="E30">
        <v>56</v>
      </c>
    </row>
    <row r="31" spans="1:5" x14ac:dyDescent="0.3">
      <c r="A31" t="s">
        <v>66</v>
      </c>
      <c r="B31" s="2">
        <v>46237</v>
      </c>
      <c r="C31" t="s">
        <v>32</v>
      </c>
      <c r="D31" t="s">
        <v>47</v>
      </c>
      <c r="E31">
        <v>73</v>
      </c>
    </row>
    <row r="32" spans="1:5" x14ac:dyDescent="0.3">
      <c r="A32" t="s">
        <v>67</v>
      </c>
      <c r="B32" s="2">
        <v>46323</v>
      </c>
      <c r="C32" t="s">
        <v>32</v>
      </c>
      <c r="D32" t="s">
        <v>41</v>
      </c>
      <c r="E32">
        <v>79</v>
      </c>
    </row>
    <row r="33" spans="1:5" x14ac:dyDescent="0.3">
      <c r="A33" t="s">
        <v>68</v>
      </c>
      <c r="B33" s="2">
        <v>46152</v>
      </c>
      <c r="C33" t="s">
        <v>34</v>
      </c>
      <c r="D33" t="s">
        <v>30</v>
      </c>
      <c r="E33">
        <v>164</v>
      </c>
    </row>
    <row r="34" spans="1:5" x14ac:dyDescent="0.3">
      <c r="A34" t="s">
        <v>69</v>
      </c>
      <c r="B34" s="2">
        <v>46077</v>
      </c>
      <c r="C34" t="s">
        <v>32</v>
      </c>
      <c r="D34" t="s">
        <v>41</v>
      </c>
      <c r="E34">
        <v>44</v>
      </c>
    </row>
    <row r="35" spans="1:5" x14ac:dyDescent="0.3">
      <c r="A35" t="s">
        <v>70</v>
      </c>
      <c r="B35" s="2">
        <v>46372</v>
      </c>
      <c r="C35" t="s">
        <v>32</v>
      </c>
      <c r="D35" t="s">
        <v>41</v>
      </c>
      <c r="E35">
        <v>60</v>
      </c>
    </row>
    <row r="36" spans="1:5" x14ac:dyDescent="0.3">
      <c r="A36" t="s">
        <v>71</v>
      </c>
      <c r="B36" s="2">
        <v>46036</v>
      </c>
      <c r="C36" t="s">
        <v>26</v>
      </c>
      <c r="D36" t="s">
        <v>27</v>
      </c>
      <c r="E36">
        <v>26</v>
      </c>
    </row>
    <row r="37" spans="1:5" x14ac:dyDescent="0.3">
      <c r="A37" t="s">
        <v>72</v>
      </c>
      <c r="B37" s="2">
        <v>46284</v>
      </c>
      <c r="C37" t="s">
        <v>29</v>
      </c>
      <c r="D37" t="s">
        <v>38</v>
      </c>
      <c r="E37">
        <v>88</v>
      </c>
    </row>
    <row r="38" spans="1:5" x14ac:dyDescent="0.3">
      <c r="A38" t="s">
        <v>73</v>
      </c>
      <c r="B38" s="2">
        <v>46386</v>
      </c>
      <c r="C38" t="s">
        <v>29</v>
      </c>
      <c r="D38" t="s">
        <v>30</v>
      </c>
      <c r="E38">
        <v>169</v>
      </c>
    </row>
    <row r="39" spans="1:5" x14ac:dyDescent="0.3">
      <c r="A39" t="s">
        <v>74</v>
      </c>
      <c r="B39" s="2">
        <v>46279</v>
      </c>
      <c r="C39" t="s">
        <v>34</v>
      </c>
      <c r="D39" t="s">
        <v>47</v>
      </c>
      <c r="E39">
        <v>50</v>
      </c>
    </row>
    <row r="40" spans="1:5" x14ac:dyDescent="0.3">
      <c r="A40" t="s">
        <v>75</v>
      </c>
      <c r="B40" s="2">
        <v>46204</v>
      </c>
      <c r="C40" t="s">
        <v>32</v>
      </c>
      <c r="D40" t="s">
        <v>44</v>
      </c>
      <c r="E40">
        <v>26</v>
      </c>
    </row>
    <row r="41" spans="1:5" x14ac:dyDescent="0.3">
      <c r="A41" t="s">
        <v>76</v>
      </c>
      <c r="B41" s="2">
        <v>46264</v>
      </c>
      <c r="C41" t="s">
        <v>32</v>
      </c>
      <c r="D41" t="s">
        <v>30</v>
      </c>
      <c r="E41">
        <v>45</v>
      </c>
    </row>
    <row r="42" spans="1:5" x14ac:dyDescent="0.3">
      <c r="A42" t="s">
        <v>77</v>
      </c>
      <c r="B42" s="2">
        <v>46239</v>
      </c>
      <c r="C42" t="s">
        <v>29</v>
      </c>
      <c r="D42" t="s">
        <v>38</v>
      </c>
      <c r="E42">
        <v>81</v>
      </c>
    </row>
    <row r="43" spans="1:5" x14ac:dyDescent="0.3">
      <c r="A43" t="s">
        <v>78</v>
      </c>
      <c r="B43" s="2">
        <v>46268</v>
      </c>
      <c r="C43" t="s">
        <v>26</v>
      </c>
      <c r="D43" t="s">
        <v>35</v>
      </c>
      <c r="E43">
        <v>36</v>
      </c>
    </row>
    <row r="44" spans="1:5" x14ac:dyDescent="0.3">
      <c r="A44" t="s">
        <v>79</v>
      </c>
      <c r="B44" s="2">
        <v>46364</v>
      </c>
      <c r="C44" t="s">
        <v>26</v>
      </c>
      <c r="D44" t="s">
        <v>47</v>
      </c>
      <c r="E44">
        <v>51</v>
      </c>
    </row>
    <row r="45" spans="1:5" x14ac:dyDescent="0.3">
      <c r="A45" t="s">
        <v>80</v>
      </c>
      <c r="B45" s="2">
        <v>46328</v>
      </c>
      <c r="C45" t="s">
        <v>37</v>
      </c>
      <c r="D45" t="s">
        <v>47</v>
      </c>
      <c r="E45">
        <v>35</v>
      </c>
    </row>
    <row r="46" spans="1:5" x14ac:dyDescent="0.3">
      <c r="A46" t="s">
        <v>81</v>
      </c>
      <c r="B46" s="2">
        <v>46264</v>
      </c>
      <c r="C46" t="s">
        <v>34</v>
      </c>
      <c r="D46" t="s">
        <v>41</v>
      </c>
      <c r="E46">
        <v>60</v>
      </c>
    </row>
    <row r="47" spans="1:5" x14ac:dyDescent="0.3">
      <c r="A47" t="s">
        <v>82</v>
      </c>
      <c r="B47" s="2">
        <v>46358</v>
      </c>
      <c r="C47" t="s">
        <v>32</v>
      </c>
      <c r="D47" t="s">
        <v>35</v>
      </c>
      <c r="E47">
        <v>37</v>
      </c>
    </row>
    <row r="48" spans="1:5" x14ac:dyDescent="0.3">
      <c r="A48" t="s">
        <v>83</v>
      </c>
      <c r="B48" s="2">
        <v>46089</v>
      </c>
      <c r="C48" t="s">
        <v>29</v>
      </c>
      <c r="D48" t="s">
        <v>38</v>
      </c>
      <c r="E48">
        <v>50</v>
      </c>
    </row>
    <row r="49" spans="1:5" x14ac:dyDescent="0.3">
      <c r="A49" t="s">
        <v>84</v>
      </c>
      <c r="B49" s="2">
        <v>46147</v>
      </c>
      <c r="C49" t="s">
        <v>26</v>
      </c>
      <c r="D49" t="s">
        <v>38</v>
      </c>
      <c r="E49">
        <v>66</v>
      </c>
    </row>
    <row r="50" spans="1:5" x14ac:dyDescent="0.3">
      <c r="A50" t="s">
        <v>85</v>
      </c>
      <c r="B50" s="2">
        <v>46036</v>
      </c>
      <c r="C50" t="s">
        <v>34</v>
      </c>
      <c r="D50" t="s">
        <v>38</v>
      </c>
      <c r="E50">
        <v>60</v>
      </c>
    </row>
    <row r="51" spans="1:5" x14ac:dyDescent="0.3">
      <c r="A51" t="s">
        <v>86</v>
      </c>
      <c r="B51" s="2">
        <v>46126</v>
      </c>
      <c r="C51" t="s">
        <v>34</v>
      </c>
      <c r="D51" t="s">
        <v>38</v>
      </c>
      <c r="E51">
        <v>66</v>
      </c>
    </row>
    <row r="52" spans="1:5" x14ac:dyDescent="0.3">
      <c r="A52" t="s">
        <v>87</v>
      </c>
      <c r="B52" s="2">
        <v>46379</v>
      </c>
      <c r="C52" t="s">
        <v>26</v>
      </c>
      <c r="D52" t="s">
        <v>35</v>
      </c>
      <c r="E52">
        <v>47</v>
      </c>
    </row>
    <row r="53" spans="1:5" x14ac:dyDescent="0.3">
      <c r="A53" t="s">
        <v>88</v>
      </c>
      <c r="B53" s="2">
        <v>46134</v>
      </c>
      <c r="C53" t="s">
        <v>29</v>
      </c>
      <c r="D53" t="s">
        <v>44</v>
      </c>
      <c r="E53">
        <v>31</v>
      </c>
    </row>
    <row r="54" spans="1:5" x14ac:dyDescent="0.3">
      <c r="A54" t="s">
        <v>89</v>
      </c>
      <c r="B54" s="2">
        <v>46313</v>
      </c>
      <c r="C54" t="s">
        <v>37</v>
      </c>
      <c r="D54" t="s">
        <v>41</v>
      </c>
      <c r="E54">
        <v>57</v>
      </c>
    </row>
    <row r="55" spans="1:5" x14ac:dyDescent="0.3">
      <c r="A55" t="s">
        <v>90</v>
      </c>
      <c r="B55" s="2">
        <v>46173</v>
      </c>
      <c r="C55" t="s">
        <v>29</v>
      </c>
      <c r="D55" t="s">
        <v>47</v>
      </c>
      <c r="E55">
        <v>42</v>
      </c>
    </row>
    <row r="56" spans="1:5" x14ac:dyDescent="0.3">
      <c r="A56" t="s">
        <v>91</v>
      </c>
      <c r="B56" s="2">
        <v>46055</v>
      </c>
      <c r="C56" t="s">
        <v>32</v>
      </c>
      <c r="D56" t="s">
        <v>38</v>
      </c>
      <c r="E56">
        <v>84</v>
      </c>
    </row>
    <row r="57" spans="1:5" x14ac:dyDescent="0.3">
      <c r="A57" t="s">
        <v>92</v>
      </c>
      <c r="B57" s="2">
        <v>46254</v>
      </c>
      <c r="C57" t="s">
        <v>29</v>
      </c>
      <c r="D57" t="s">
        <v>41</v>
      </c>
      <c r="E57">
        <v>39</v>
      </c>
    </row>
    <row r="58" spans="1:5" x14ac:dyDescent="0.3">
      <c r="A58" t="s">
        <v>93</v>
      </c>
      <c r="B58" s="2">
        <v>46156</v>
      </c>
      <c r="C58" t="s">
        <v>26</v>
      </c>
      <c r="D58" t="s">
        <v>47</v>
      </c>
      <c r="E58">
        <v>22</v>
      </c>
    </row>
    <row r="59" spans="1:5" x14ac:dyDescent="0.3">
      <c r="A59" t="s">
        <v>94</v>
      </c>
      <c r="B59" s="2">
        <v>46171</v>
      </c>
      <c r="C59" t="s">
        <v>32</v>
      </c>
      <c r="D59" t="s">
        <v>41</v>
      </c>
      <c r="E59">
        <v>87</v>
      </c>
    </row>
    <row r="60" spans="1:5" x14ac:dyDescent="0.3">
      <c r="A60" t="s">
        <v>95</v>
      </c>
      <c r="B60" s="2">
        <v>46151</v>
      </c>
      <c r="C60" t="s">
        <v>29</v>
      </c>
      <c r="D60" t="s">
        <v>38</v>
      </c>
      <c r="E60">
        <v>85</v>
      </c>
    </row>
    <row r="61" spans="1:5" x14ac:dyDescent="0.3">
      <c r="A61" t="s">
        <v>96</v>
      </c>
      <c r="B61" s="2">
        <v>46323</v>
      </c>
      <c r="C61" t="s">
        <v>29</v>
      </c>
      <c r="D61" t="s">
        <v>27</v>
      </c>
      <c r="E61">
        <v>11</v>
      </c>
    </row>
    <row r="62" spans="1:5" x14ac:dyDescent="0.3">
      <c r="A62" t="s">
        <v>97</v>
      </c>
      <c r="B62" s="2">
        <v>46272</v>
      </c>
      <c r="C62" t="s">
        <v>32</v>
      </c>
      <c r="D62" t="s">
        <v>41</v>
      </c>
      <c r="E62">
        <v>55</v>
      </c>
    </row>
    <row r="63" spans="1:5" x14ac:dyDescent="0.3">
      <c r="A63" t="s">
        <v>98</v>
      </c>
      <c r="B63" s="2">
        <v>46214</v>
      </c>
      <c r="C63" t="s">
        <v>26</v>
      </c>
      <c r="D63" t="s">
        <v>41</v>
      </c>
      <c r="E63">
        <v>90</v>
      </c>
    </row>
    <row r="64" spans="1:5" x14ac:dyDescent="0.3">
      <c r="A64" t="s">
        <v>99</v>
      </c>
      <c r="B64" s="2">
        <v>46377</v>
      </c>
      <c r="C64" t="s">
        <v>32</v>
      </c>
      <c r="D64" t="s">
        <v>38</v>
      </c>
      <c r="E64">
        <v>82</v>
      </c>
    </row>
    <row r="65" spans="1:5" x14ac:dyDescent="0.3">
      <c r="A65" t="s">
        <v>100</v>
      </c>
      <c r="B65" s="2">
        <v>46345</v>
      </c>
      <c r="C65" t="s">
        <v>37</v>
      </c>
      <c r="D65" t="s">
        <v>30</v>
      </c>
      <c r="E65">
        <v>167</v>
      </c>
    </row>
    <row r="66" spans="1:5" x14ac:dyDescent="0.3">
      <c r="A66" t="s">
        <v>101</v>
      </c>
      <c r="B66" s="2">
        <v>46272</v>
      </c>
      <c r="C66" t="s">
        <v>34</v>
      </c>
      <c r="D66" t="s">
        <v>30</v>
      </c>
      <c r="E66">
        <v>150</v>
      </c>
    </row>
    <row r="67" spans="1:5" x14ac:dyDescent="0.3">
      <c r="A67" t="s">
        <v>102</v>
      </c>
      <c r="B67" s="2">
        <v>46034</v>
      </c>
      <c r="C67" t="s">
        <v>26</v>
      </c>
      <c r="D67" t="s">
        <v>27</v>
      </c>
      <c r="E67">
        <v>34</v>
      </c>
    </row>
    <row r="68" spans="1:5" x14ac:dyDescent="0.3">
      <c r="A68" t="s">
        <v>103</v>
      </c>
      <c r="B68" s="2">
        <v>46093</v>
      </c>
      <c r="C68" t="s">
        <v>26</v>
      </c>
      <c r="D68" t="s">
        <v>30</v>
      </c>
      <c r="E68">
        <v>60</v>
      </c>
    </row>
    <row r="69" spans="1:5" x14ac:dyDescent="0.3">
      <c r="A69" t="s">
        <v>104</v>
      </c>
      <c r="B69" s="2">
        <v>46094</v>
      </c>
      <c r="C69" t="s">
        <v>29</v>
      </c>
      <c r="D69" t="s">
        <v>38</v>
      </c>
      <c r="E69">
        <v>88</v>
      </c>
    </row>
    <row r="70" spans="1:5" x14ac:dyDescent="0.3">
      <c r="A70" t="s">
        <v>105</v>
      </c>
      <c r="B70" s="2">
        <v>46276</v>
      </c>
      <c r="C70" t="s">
        <v>34</v>
      </c>
      <c r="D70" t="s">
        <v>38</v>
      </c>
      <c r="E70">
        <v>32</v>
      </c>
    </row>
    <row r="71" spans="1:5" x14ac:dyDescent="0.3">
      <c r="A71" t="s">
        <v>106</v>
      </c>
      <c r="B71" s="2">
        <v>46047</v>
      </c>
      <c r="C71" t="s">
        <v>37</v>
      </c>
      <c r="D71" t="s">
        <v>38</v>
      </c>
      <c r="E71">
        <v>45</v>
      </c>
    </row>
    <row r="72" spans="1:5" x14ac:dyDescent="0.3">
      <c r="A72" t="s">
        <v>107</v>
      </c>
      <c r="B72" s="2">
        <v>46042</v>
      </c>
      <c r="C72" t="s">
        <v>34</v>
      </c>
      <c r="D72" t="s">
        <v>38</v>
      </c>
      <c r="E72">
        <v>47</v>
      </c>
    </row>
    <row r="73" spans="1:5" x14ac:dyDescent="0.3">
      <c r="A73" t="s">
        <v>108</v>
      </c>
      <c r="B73" s="2">
        <v>46365</v>
      </c>
      <c r="C73" t="s">
        <v>34</v>
      </c>
      <c r="D73" t="s">
        <v>27</v>
      </c>
      <c r="E73">
        <v>36</v>
      </c>
    </row>
    <row r="74" spans="1:5" x14ac:dyDescent="0.3">
      <c r="A74" t="s">
        <v>109</v>
      </c>
      <c r="B74" s="2">
        <v>46349</v>
      </c>
      <c r="C74" t="s">
        <v>26</v>
      </c>
      <c r="D74" t="s">
        <v>30</v>
      </c>
      <c r="E74">
        <v>93</v>
      </c>
    </row>
    <row r="75" spans="1:5" x14ac:dyDescent="0.3">
      <c r="A75" t="s">
        <v>110</v>
      </c>
      <c r="B75" s="2">
        <v>46228</v>
      </c>
      <c r="C75" t="s">
        <v>26</v>
      </c>
      <c r="D75" t="s">
        <v>30</v>
      </c>
      <c r="E75">
        <v>116</v>
      </c>
    </row>
    <row r="76" spans="1:5" x14ac:dyDescent="0.3">
      <c r="A76" t="s">
        <v>111</v>
      </c>
      <c r="B76" s="2">
        <v>46321</v>
      </c>
      <c r="C76" t="s">
        <v>26</v>
      </c>
      <c r="D76" t="s">
        <v>47</v>
      </c>
      <c r="E76">
        <v>24</v>
      </c>
    </row>
    <row r="77" spans="1:5" x14ac:dyDescent="0.3">
      <c r="A77" t="s">
        <v>112</v>
      </c>
      <c r="B77" s="2">
        <v>46316</v>
      </c>
      <c r="C77" t="s">
        <v>37</v>
      </c>
      <c r="D77" t="s">
        <v>30</v>
      </c>
      <c r="E77">
        <v>54</v>
      </c>
    </row>
    <row r="78" spans="1:5" x14ac:dyDescent="0.3">
      <c r="A78" t="s">
        <v>113</v>
      </c>
      <c r="B78" s="2">
        <v>46329</v>
      </c>
      <c r="C78" t="s">
        <v>29</v>
      </c>
      <c r="D78" t="s">
        <v>30</v>
      </c>
      <c r="E78">
        <v>153</v>
      </c>
    </row>
    <row r="79" spans="1:5" x14ac:dyDescent="0.3">
      <c r="A79" t="s">
        <v>114</v>
      </c>
      <c r="B79" s="2">
        <v>46352</v>
      </c>
      <c r="C79" t="s">
        <v>34</v>
      </c>
      <c r="D79" t="s">
        <v>38</v>
      </c>
      <c r="E79">
        <v>34</v>
      </c>
    </row>
    <row r="80" spans="1:5" x14ac:dyDescent="0.3">
      <c r="A80" t="s">
        <v>115</v>
      </c>
      <c r="B80" s="2">
        <v>46369</v>
      </c>
      <c r="C80" t="s">
        <v>26</v>
      </c>
      <c r="D80" t="s">
        <v>47</v>
      </c>
      <c r="E80">
        <v>66</v>
      </c>
    </row>
    <row r="81" spans="1:5" x14ac:dyDescent="0.3">
      <c r="A81" t="s">
        <v>116</v>
      </c>
      <c r="B81" s="2">
        <v>46189</v>
      </c>
      <c r="C81" t="s">
        <v>37</v>
      </c>
      <c r="D81" t="s">
        <v>30</v>
      </c>
      <c r="E81">
        <v>60</v>
      </c>
    </row>
    <row r="82" spans="1:5" x14ac:dyDescent="0.3">
      <c r="A82" t="s">
        <v>117</v>
      </c>
      <c r="B82" s="2">
        <v>46199</v>
      </c>
      <c r="C82" t="s">
        <v>29</v>
      </c>
      <c r="D82" t="s">
        <v>30</v>
      </c>
      <c r="E82">
        <v>111</v>
      </c>
    </row>
    <row r="83" spans="1:5" x14ac:dyDescent="0.3">
      <c r="A83" t="s">
        <v>118</v>
      </c>
      <c r="B83" s="2">
        <v>46229</v>
      </c>
      <c r="C83" t="s">
        <v>29</v>
      </c>
      <c r="D83" t="s">
        <v>44</v>
      </c>
      <c r="E83">
        <v>46</v>
      </c>
    </row>
    <row r="84" spans="1:5" x14ac:dyDescent="0.3">
      <c r="A84" t="s">
        <v>119</v>
      </c>
      <c r="B84" s="2">
        <v>46079</v>
      </c>
      <c r="C84" t="s">
        <v>34</v>
      </c>
      <c r="D84" t="s">
        <v>27</v>
      </c>
      <c r="E84">
        <v>27</v>
      </c>
    </row>
    <row r="85" spans="1:5" x14ac:dyDescent="0.3">
      <c r="A85" t="s">
        <v>120</v>
      </c>
      <c r="B85" s="2">
        <v>46272</v>
      </c>
      <c r="C85" t="s">
        <v>34</v>
      </c>
      <c r="D85" t="s">
        <v>38</v>
      </c>
      <c r="E85">
        <v>31</v>
      </c>
    </row>
    <row r="86" spans="1:5" x14ac:dyDescent="0.3">
      <c r="A86" t="s">
        <v>121</v>
      </c>
      <c r="B86" s="2">
        <v>46073</v>
      </c>
      <c r="C86" t="s">
        <v>34</v>
      </c>
      <c r="D86" t="s">
        <v>35</v>
      </c>
      <c r="E86">
        <v>18</v>
      </c>
    </row>
    <row r="87" spans="1:5" x14ac:dyDescent="0.3">
      <c r="A87" t="s">
        <v>122</v>
      </c>
      <c r="B87" s="2">
        <v>46100</v>
      </c>
      <c r="C87" t="s">
        <v>34</v>
      </c>
      <c r="D87" t="s">
        <v>30</v>
      </c>
      <c r="E87">
        <v>132</v>
      </c>
    </row>
    <row r="88" spans="1:5" x14ac:dyDescent="0.3">
      <c r="A88" t="s">
        <v>123</v>
      </c>
      <c r="B88" s="2">
        <v>46276</v>
      </c>
      <c r="C88" t="s">
        <v>26</v>
      </c>
      <c r="D88" t="s">
        <v>35</v>
      </c>
      <c r="E88">
        <v>47</v>
      </c>
    </row>
    <row r="89" spans="1:5" x14ac:dyDescent="0.3">
      <c r="A89" t="s">
        <v>124</v>
      </c>
      <c r="B89" s="2">
        <v>46093</v>
      </c>
      <c r="C89" t="s">
        <v>37</v>
      </c>
      <c r="D89" t="s">
        <v>30</v>
      </c>
      <c r="E89">
        <v>106</v>
      </c>
    </row>
    <row r="90" spans="1:5" x14ac:dyDescent="0.3">
      <c r="A90" t="s">
        <v>125</v>
      </c>
      <c r="B90" s="2">
        <v>46215</v>
      </c>
      <c r="C90" t="s">
        <v>26</v>
      </c>
      <c r="D90" t="s">
        <v>38</v>
      </c>
      <c r="E90">
        <v>70</v>
      </c>
    </row>
    <row r="91" spans="1:5" x14ac:dyDescent="0.3">
      <c r="A91" t="s">
        <v>126</v>
      </c>
      <c r="B91" s="2">
        <v>46032</v>
      </c>
      <c r="C91" t="s">
        <v>29</v>
      </c>
      <c r="D91" t="s">
        <v>35</v>
      </c>
      <c r="E91">
        <v>48</v>
      </c>
    </row>
    <row r="92" spans="1:5" x14ac:dyDescent="0.3">
      <c r="A92" t="s">
        <v>127</v>
      </c>
      <c r="B92" s="2">
        <v>46136</v>
      </c>
      <c r="C92" t="s">
        <v>26</v>
      </c>
      <c r="D92" t="s">
        <v>38</v>
      </c>
      <c r="E92">
        <v>29</v>
      </c>
    </row>
    <row r="93" spans="1:5" x14ac:dyDescent="0.3">
      <c r="A93" t="s">
        <v>128</v>
      </c>
      <c r="B93" s="2">
        <v>46378</v>
      </c>
      <c r="C93" t="s">
        <v>32</v>
      </c>
      <c r="D93" t="s">
        <v>35</v>
      </c>
      <c r="E93">
        <v>31</v>
      </c>
    </row>
    <row r="94" spans="1:5" x14ac:dyDescent="0.3">
      <c r="A94" t="s">
        <v>129</v>
      </c>
      <c r="B94" s="2">
        <v>46323</v>
      </c>
      <c r="C94" t="s">
        <v>32</v>
      </c>
      <c r="D94" t="s">
        <v>38</v>
      </c>
      <c r="E94">
        <v>64</v>
      </c>
    </row>
    <row r="95" spans="1:5" x14ac:dyDescent="0.3">
      <c r="A95" t="s">
        <v>130</v>
      </c>
      <c r="B95" s="2">
        <v>46349</v>
      </c>
      <c r="C95" t="s">
        <v>32</v>
      </c>
      <c r="D95" t="s">
        <v>38</v>
      </c>
      <c r="E95">
        <v>46</v>
      </c>
    </row>
    <row r="96" spans="1:5" x14ac:dyDescent="0.3">
      <c r="A96" t="s">
        <v>131</v>
      </c>
      <c r="B96" s="2">
        <v>46025</v>
      </c>
      <c r="C96" t="s">
        <v>26</v>
      </c>
      <c r="D96" t="s">
        <v>38</v>
      </c>
      <c r="E96">
        <v>44</v>
      </c>
    </row>
    <row r="97" spans="1:5" x14ac:dyDescent="0.3">
      <c r="A97" t="s">
        <v>132</v>
      </c>
      <c r="B97" s="2">
        <v>46076</v>
      </c>
      <c r="C97" t="s">
        <v>29</v>
      </c>
      <c r="D97" t="s">
        <v>44</v>
      </c>
      <c r="E97">
        <v>58</v>
      </c>
    </row>
    <row r="98" spans="1:5" x14ac:dyDescent="0.3">
      <c r="A98" t="s">
        <v>133</v>
      </c>
      <c r="B98" s="2">
        <v>46041</v>
      </c>
      <c r="C98" t="s">
        <v>26</v>
      </c>
      <c r="D98" t="s">
        <v>35</v>
      </c>
      <c r="E98">
        <v>19</v>
      </c>
    </row>
    <row r="99" spans="1:5" x14ac:dyDescent="0.3">
      <c r="A99" t="s">
        <v>134</v>
      </c>
      <c r="B99" s="2">
        <v>46105</v>
      </c>
      <c r="C99" t="s">
        <v>34</v>
      </c>
      <c r="D99" t="s">
        <v>38</v>
      </c>
      <c r="E99">
        <v>68</v>
      </c>
    </row>
    <row r="100" spans="1:5" x14ac:dyDescent="0.3">
      <c r="A100" t="s">
        <v>135</v>
      </c>
      <c r="B100" s="2">
        <v>46295</v>
      </c>
      <c r="C100" t="s">
        <v>29</v>
      </c>
      <c r="D100" t="s">
        <v>44</v>
      </c>
      <c r="E100">
        <v>55</v>
      </c>
    </row>
    <row r="101" spans="1:5" x14ac:dyDescent="0.3">
      <c r="A101" t="s">
        <v>136</v>
      </c>
      <c r="B101" s="2">
        <v>46383</v>
      </c>
      <c r="C101" t="s">
        <v>37</v>
      </c>
      <c r="D101" t="s">
        <v>44</v>
      </c>
      <c r="E101">
        <v>35</v>
      </c>
    </row>
    <row r="102" spans="1:5" x14ac:dyDescent="0.3">
      <c r="A102" t="s">
        <v>137</v>
      </c>
      <c r="B102" s="2">
        <v>46138</v>
      </c>
      <c r="C102" t="s">
        <v>26</v>
      </c>
      <c r="D102" t="s">
        <v>38</v>
      </c>
      <c r="E102">
        <v>21</v>
      </c>
    </row>
    <row r="103" spans="1:5" x14ac:dyDescent="0.3">
      <c r="A103" t="s">
        <v>138</v>
      </c>
      <c r="B103" s="2">
        <v>46253</v>
      </c>
      <c r="C103" t="s">
        <v>34</v>
      </c>
      <c r="D103" t="s">
        <v>27</v>
      </c>
      <c r="E103">
        <v>38</v>
      </c>
    </row>
    <row r="104" spans="1:5" x14ac:dyDescent="0.3">
      <c r="A104" t="s">
        <v>139</v>
      </c>
      <c r="B104" s="2">
        <v>46175</v>
      </c>
      <c r="C104" t="s">
        <v>26</v>
      </c>
      <c r="D104" t="s">
        <v>30</v>
      </c>
      <c r="E104">
        <v>85</v>
      </c>
    </row>
    <row r="105" spans="1:5" x14ac:dyDescent="0.3">
      <c r="A105" t="s">
        <v>140</v>
      </c>
      <c r="B105" s="2">
        <v>46062</v>
      </c>
      <c r="C105" t="s">
        <v>26</v>
      </c>
      <c r="D105" t="s">
        <v>38</v>
      </c>
      <c r="E105">
        <v>25</v>
      </c>
    </row>
    <row r="106" spans="1:5" x14ac:dyDescent="0.3">
      <c r="A106" t="s">
        <v>141</v>
      </c>
      <c r="B106" s="2">
        <v>46023</v>
      </c>
      <c r="C106" t="s">
        <v>34</v>
      </c>
      <c r="D106" t="s">
        <v>38</v>
      </c>
      <c r="E106">
        <v>25</v>
      </c>
    </row>
    <row r="107" spans="1:5" x14ac:dyDescent="0.3">
      <c r="A107" t="s">
        <v>142</v>
      </c>
      <c r="B107" s="2">
        <v>46327</v>
      </c>
      <c r="C107" t="s">
        <v>32</v>
      </c>
      <c r="D107" t="s">
        <v>35</v>
      </c>
      <c r="E107">
        <v>45</v>
      </c>
    </row>
    <row r="108" spans="1:5" x14ac:dyDescent="0.3">
      <c r="A108" t="s">
        <v>143</v>
      </c>
      <c r="B108" s="2">
        <v>46270</v>
      </c>
      <c r="C108" t="s">
        <v>34</v>
      </c>
      <c r="D108" t="s">
        <v>38</v>
      </c>
      <c r="E108">
        <v>70</v>
      </c>
    </row>
    <row r="109" spans="1:5" x14ac:dyDescent="0.3">
      <c r="A109" t="s">
        <v>144</v>
      </c>
      <c r="B109" s="2">
        <v>46056</v>
      </c>
      <c r="C109" t="s">
        <v>26</v>
      </c>
      <c r="D109" t="s">
        <v>41</v>
      </c>
      <c r="E109">
        <v>81</v>
      </c>
    </row>
    <row r="110" spans="1:5" x14ac:dyDescent="0.3">
      <c r="A110" t="s">
        <v>145</v>
      </c>
      <c r="B110" s="2">
        <v>46233</v>
      </c>
      <c r="C110" t="s">
        <v>34</v>
      </c>
      <c r="D110" t="s">
        <v>35</v>
      </c>
      <c r="E110">
        <v>17</v>
      </c>
    </row>
    <row r="111" spans="1:5" x14ac:dyDescent="0.3">
      <c r="A111" t="s">
        <v>146</v>
      </c>
      <c r="B111" s="2">
        <v>46135</v>
      </c>
      <c r="C111" t="s">
        <v>29</v>
      </c>
      <c r="D111" t="s">
        <v>38</v>
      </c>
      <c r="E111">
        <v>43</v>
      </c>
    </row>
    <row r="112" spans="1:5" x14ac:dyDescent="0.3">
      <c r="A112" t="s">
        <v>147</v>
      </c>
      <c r="B112" s="2">
        <v>46323</v>
      </c>
      <c r="C112" t="s">
        <v>32</v>
      </c>
      <c r="D112" t="s">
        <v>30</v>
      </c>
      <c r="E112">
        <v>137</v>
      </c>
    </row>
    <row r="113" spans="1:5" x14ac:dyDescent="0.3">
      <c r="A113" t="s">
        <v>148</v>
      </c>
      <c r="B113" s="2">
        <v>46194</v>
      </c>
      <c r="C113" t="s">
        <v>37</v>
      </c>
      <c r="D113" t="s">
        <v>35</v>
      </c>
      <c r="E113">
        <v>50</v>
      </c>
    </row>
    <row r="114" spans="1:5" x14ac:dyDescent="0.3">
      <c r="A114" t="s">
        <v>149</v>
      </c>
      <c r="B114" s="2">
        <v>46176</v>
      </c>
      <c r="C114" t="s">
        <v>37</v>
      </c>
      <c r="D114" t="s">
        <v>30</v>
      </c>
      <c r="E114">
        <v>115</v>
      </c>
    </row>
    <row r="115" spans="1:5" x14ac:dyDescent="0.3">
      <c r="A115" t="s">
        <v>150</v>
      </c>
      <c r="B115" s="2">
        <v>46107</v>
      </c>
      <c r="C115" t="s">
        <v>26</v>
      </c>
      <c r="D115" t="s">
        <v>38</v>
      </c>
      <c r="E115">
        <v>83</v>
      </c>
    </row>
    <row r="116" spans="1:5" x14ac:dyDescent="0.3">
      <c r="A116" t="s">
        <v>151</v>
      </c>
      <c r="B116" s="2">
        <v>46280</v>
      </c>
      <c r="C116" t="s">
        <v>34</v>
      </c>
      <c r="D116" t="s">
        <v>38</v>
      </c>
      <c r="E116">
        <v>60</v>
      </c>
    </row>
    <row r="117" spans="1:5" x14ac:dyDescent="0.3">
      <c r="A117" t="s">
        <v>152</v>
      </c>
      <c r="B117" s="2">
        <v>46338</v>
      </c>
      <c r="C117" t="s">
        <v>29</v>
      </c>
      <c r="D117" t="s">
        <v>38</v>
      </c>
      <c r="E117">
        <v>62</v>
      </c>
    </row>
    <row r="118" spans="1:5" x14ac:dyDescent="0.3">
      <c r="A118" t="s">
        <v>153</v>
      </c>
      <c r="B118" s="2">
        <v>46277</v>
      </c>
      <c r="C118" t="s">
        <v>32</v>
      </c>
      <c r="D118" t="s">
        <v>30</v>
      </c>
      <c r="E118">
        <v>80</v>
      </c>
    </row>
    <row r="119" spans="1:5" x14ac:dyDescent="0.3">
      <c r="A119" t="s">
        <v>154</v>
      </c>
      <c r="B119" s="2">
        <v>46117</v>
      </c>
      <c r="C119" t="s">
        <v>34</v>
      </c>
      <c r="D119" t="s">
        <v>41</v>
      </c>
      <c r="E119">
        <v>31</v>
      </c>
    </row>
    <row r="120" spans="1:5" x14ac:dyDescent="0.3">
      <c r="A120" t="s">
        <v>155</v>
      </c>
      <c r="B120" s="2">
        <v>46242</v>
      </c>
      <c r="C120" t="s">
        <v>32</v>
      </c>
      <c r="D120" t="s">
        <v>47</v>
      </c>
      <c r="E120">
        <v>35</v>
      </c>
    </row>
    <row r="121" spans="1:5" x14ac:dyDescent="0.3">
      <c r="A121" t="s">
        <v>156</v>
      </c>
      <c r="B121" s="2">
        <v>46143</v>
      </c>
      <c r="C121" t="s">
        <v>29</v>
      </c>
      <c r="D121" t="s">
        <v>35</v>
      </c>
      <c r="E121">
        <v>27</v>
      </c>
    </row>
    <row r="122" spans="1:5" x14ac:dyDescent="0.3">
      <c r="A122" t="s">
        <v>157</v>
      </c>
      <c r="B122" s="2">
        <v>46235</v>
      </c>
      <c r="C122" t="s">
        <v>32</v>
      </c>
      <c r="D122" t="s">
        <v>47</v>
      </c>
      <c r="E122">
        <v>69</v>
      </c>
    </row>
    <row r="123" spans="1:5" x14ac:dyDescent="0.3">
      <c r="A123" t="s">
        <v>158</v>
      </c>
      <c r="B123" s="2">
        <v>46319</v>
      </c>
      <c r="C123" t="s">
        <v>26</v>
      </c>
      <c r="D123" t="s">
        <v>44</v>
      </c>
      <c r="E123">
        <v>50</v>
      </c>
    </row>
    <row r="124" spans="1:5" x14ac:dyDescent="0.3">
      <c r="A124" t="s">
        <v>159</v>
      </c>
      <c r="B124" s="2">
        <v>46205</v>
      </c>
      <c r="C124" t="s">
        <v>29</v>
      </c>
      <c r="D124" t="s">
        <v>30</v>
      </c>
      <c r="E124">
        <v>132</v>
      </c>
    </row>
    <row r="125" spans="1:5" x14ac:dyDescent="0.3">
      <c r="A125" t="s">
        <v>160</v>
      </c>
      <c r="B125" s="2">
        <v>46094</v>
      </c>
      <c r="C125" t="s">
        <v>37</v>
      </c>
      <c r="D125" t="s">
        <v>30</v>
      </c>
      <c r="E125">
        <v>45</v>
      </c>
    </row>
    <row r="126" spans="1:5" x14ac:dyDescent="0.3">
      <c r="A126" t="s">
        <v>161</v>
      </c>
      <c r="B126" s="2">
        <v>46126</v>
      </c>
      <c r="C126" t="s">
        <v>32</v>
      </c>
      <c r="D126" t="s">
        <v>38</v>
      </c>
      <c r="E126">
        <v>22</v>
      </c>
    </row>
    <row r="127" spans="1:5" x14ac:dyDescent="0.3">
      <c r="A127" t="s">
        <v>162</v>
      </c>
      <c r="B127" s="2">
        <v>46312</v>
      </c>
      <c r="C127" t="s">
        <v>32</v>
      </c>
      <c r="D127" t="s">
        <v>38</v>
      </c>
      <c r="E127">
        <v>42</v>
      </c>
    </row>
    <row r="128" spans="1:5" x14ac:dyDescent="0.3">
      <c r="A128" t="s">
        <v>163</v>
      </c>
      <c r="B128" s="2">
        <v>46088</v>
      </c>
      <c r="C128" t="s">
        <v>29</v>
      </c>
      <c r="D128" t="s">
        <v>47</v>
      </c>
      <c r="E128">
        <v>50</v>
      </c>
    </row>
    <row r="129" spans="1:5" x14ac:dyDescent="0.3">
      <c r="A129" t="s">
        <v>164</v>
      </c>
      <c r="B129" s="2">
        <v>46254</v>
      </c>
      <c r="C129" t="s">
        <v>26</v>
      </c>
      <c r="D129" t="s">
        <v>27</v>
      </c>
      <c r="E129">
        <v>18</v>
      </c>
    </row>
    <row r="130" spans="1:5" x14ac:dyDescent="0.3">
      <c r="A130" t="s">
        <v>165</v>
      </c>
      <c r="B130" s="2">
        <v>46063</v>
      </c>
      <c r="C130" t="s">
        <v>26</v>
      </c>
      <c r="D130" t="s">
        <v>38</v>
      </c>
      <c r="E130">
        <v>84</v>
      </c>
    </row>
    <row r="131" spans="1:5" x14ac:dyDescent="0.3">
      <c r="A131" t="s">
        <v>166</v>
      </c>
      <c r="B131" s="2">
        <v>46215</v>
      </c>
      <c r="C131" t="s">
        <v>37</v>
      </c>
      <c r="D131" t="s">
        <v>38</v>
      </c>
      <c r="E131">
        <v>55</v>
      </c>
    </row>
    <row r="132" spans="1:5" x14ac:dyDescent="0.3">
      <c r="A132" t="s">
        <v>167</v>
      </c>
      <c r="B132" s="2">
        <v>46161</v>
      </c>
      <c r="C132" t="s">
        <v>34</v>
      </c>
      <c r="D132" t="s">
        <v>38</v>
      </c>
      <c r="E132">
        <v>33</v>
      </c>
    </row>
    <row r="133" spans="1:5" x14ac:dyDescent="0.3">
      <c r="A133" t="s">
        <v>168</v>
      </c>
      <c r="B133" s="2">
        <v>46221</v>
      </c>
      <c r="C133" t="s">
        <v>29</v>
      </c>
      <c r="D133" t="s">
        <v>41</v>
      </c>
      <c r="E133">
        <v>45</v>
      </c>
    </row>
    <row r="134" spans="1:5" x14ac:dyDescent="0.3">
      <c r="A134" t="s">
        <v>169</v>
      </c>
      <c r="B134" s="2">
        <v>46383</v>
      </c>
      <c r="C134" t="s">
        <v>37</v>
      </c>
      <c r="D134" t="s">
        <v>35</v>
      </c>
      <c r="E134">
        <v>43</v>
      </c>
    </row>
    <row r="135" spans="1:5" x14ac:dyDescent="0.3">
      <c r="A135" t="s">
        <v>170</v>
      </c>
      <c r="B135" s="2">
        <v>46183</v>
      </c>
      <c r="C135" t="s">
        <v>34</v>
      </c>
      <c r="D135" t="s">
        <v>41</v>
      </c>
      <c r="E135">
        <v>20</v>
      </c>
    </row>
    <row r="136" spans="1:5" x14ac:dyDescent="0.3">
      <c r="A136" t="s">
        <v>171</v>
      </c>
      <c r="B136" s="2">
        <v>46086</v>
      </c>
      <c r="C136" t="s">
        <v>34</v>
      </c>
      <c r="D136" t="s">
        <v>30</v>
      </c>
      <c r="E136">
        <v>97</v>
      </c>
    </row>
    <row r="137" spans="1:5" x14ac:dyDescent="0.3">
      <c r="A137" t="s">
        <v>172</v>
      </c>
      <c r="B137" s="2">
        <v>46089</v>
      </c>
      <c r="C137" t="s">
        <v>32</v>
      </c>
      <c r="D137" t="s">
        <v>47</v>
      </c>
      <c r="E137">
        <v>46</v>
      </c>
    </row>
    <row r="138" spans="1:5" x14ac:dyDescent="0.3">
      <c r="A138" t="s">
        <v>173</v>
      </c>
      <c r="B138" s="2">
        <v>46322</v>
      </c>
      <c r="C138" t="s">
        <v>26</v>
      </c>
      <c r="D138" t="s">
        <v>35</v>
      </c>
      <c r="E138">
        <v>57</v>
      </c>
    </row>
    <row r="139" spans="1:5" x14ac:dyDescent="0.3">
      <c r="A139" t="s">
        <v>174</v>
      </c>
      <c r="B139" s="2">
        <v>46242</v>
      </c>
      <c r="C139" t="s">
        <v>26</v>
      </c>
      <c r="D139" t="s">
        <v>30</v>
      </c>
      <c r="E139">
        <v>54</v>
      </c>
    </row>
    <row r="140" spans="1:5" x14ac:dyDescent="0.3">
      <c r="A140" t="s">
        <v>175</v>
      </c>
      <c r="B140" s="2">
        <v>46384</v>
      </c>
      <c r="C140" t="s">
        <v>26</v>
      </c>
      <c r="D140" t="s">
        <v>41</v>
      </c>
      <c r="E140">
        <v>63</v>
      </c>
    </row>
    <row r="141" spans="1:5" x14ac:dyDescent="0.3">
      <c r="A141" t="s">
        <v>176</v>
      </c>
      <c r="B141" s="2">
        <v>46117</v>
      </c>
      <c r="C141" t="s">
        <v>34</v>
      </c>
      <c r="D141" t="s">
        <v>30</v>
      </c>
      <c r="E141">
        <v>59</v>
      </c>
    </row>
    <row r="142" spans="1:5" x14ac:dyDescent="0.3">
      <c r="A142" t="s">
        <v>177</v>
      </c>
      <c r="B142" s="2">
        <v>46380</v>
      </c>
      <c r="C142" t="s">
        <v>32</v>
      </c>
      <c r="D142" t="s">
        <v>47</v>
      </c>
      <c r="E142">
        <v>71</v>
      </c>
    </row>
    <row r="143" spans="1:5" x14ac:dyDescent="0.3">
      <c r="A143" t="s">
        <v>178</v>
      </c>
      <c r="B143" s="2">
        <v>46147</v>
      </c>
      <c r="C143" t="s">
        <v>37</v>
      </c>
      <c r="D143" t="s">
        <v>27</v>
      </c>
      <c r="E143">
        <v>30</v>
      </c>
    </row>
    <row r="144" spans="1:5" x14ac:dyDescent="0.3">
      <c r="A144" t="s">
        <v>179</v>
      </c>
      <c r="B144" s="2">
        <v>46031</v>
      </c>
      <c r="C144" t="s">
        <v>29</v>
      </c>
      <c r="D144" t="s">
        <v>44</v>
      </c>
      <c r="E144">
        <v>16</v>
      </c>
    </row>
    <row r="145" spans="1:5" x14ac:dyDescent="0.3">
      <c r="A145" t="s">
        <v>180</v>
      </c>
      <c r="B145" s="2">
        <v>46092</v>
      </c>
      <c r="C145" t="s">
        <v>34</v>
      </c>
      <c r="D145" t="s">
        <v>38</v>
      </c>
      <c r="E145">
        <v>24</v>
      </c>
    </row>
    <row r="146" spans="1:5" x14ac:dyDescent="0.3">
      <c r="A146" t="s">
        <v>181</v>
      </c>
      <c r="B146" s="2">
        <v>46264</v>
      </c>
      <c r="C146" t="s">
        <v>37</v>
      </c>
      <c r="D146" t="s">
        <v>38</v>
      </c>
      <c r="E146">
        <v>42</v>
      </c>
    </row>
    <row r="147" spans="1:5" x14ac:dyDescent="0.3">
      <c r="A147" t="s">
        <v>182</v>
      </c>
      <c r="B147" s="2">
        <v>46311</v>
      </c>
      <c r="C147" t="s">
        <v>29</v>
      </c>
      <c r="D147" t="s">
        <v>35</v>
      </c>
      <c r="E147">
        <v>38</v>
      </c>
    </row>
    <row r="148" spans="1:5" x14ac:dyDescent="0.3">
      <c r="A148" t="s">
        <v>183</v>
      </c>
      <c r="B148" s="2">
        <v>46211</v>
      </c>
      <c r="C148" t="s">
        <v>32</v>
      </c>
      <c r="D148" t="s">
        <v>30</v>
      </c>
      <c r="E148">
        <v>53</v>
      </c>
    </row>
    <row r="149" spans="1:5" x14ac:dyDescent="0.3">
      <c r="A149" t="s">
        <v>184</v>
      </c>
      <c r="B149" s="2">
        <v>46031</v>
      </c>
      <c r="C149" t="s">
        <v>34</v>
      </c>
      <c r="D149" t="s">
        <v>44</v>
      </c>
      <c r="E149">
        <v>54</v>
      </c>
    </row>
    <row r="150" spans="1:5" x14ac:dyDescent="0.3">
      <c r="A150" t="s">
        <v>185</v>
      </c>
      <c r="B150" s="2">
        <v>46303</v>
      </c>
      <c r="C150" t="s">
        <v>29</v>
      </c>
      <c r="D150" t="s">
        <v>27</v>
      </c>
      <c r="E150">
        <v>14</v>
      </c>
    </row>
    <row r="151" spans="1:5" x14ac:dyDescent="0.3">
      <c r="A151" t="s">
        <v>186</v>
      </c>
      <c r="B151" s="2">
        <v>46093</v>
      </c>
      <c r="C151" t="s">
        <v>32</v>
      </c>
      <c r="D151" t="s">
        <v>38</v>
      </c>
      <c r="E151">
        <v>82</v>
      </c>
    </row>
    <row r="152" spans="1:5" x14ac:dyDescent="0.3">
      <c r="A152" t="s">
        <v>187</v>
      </c>
      <c r="B152" s="2">
        <v>46357</v>
      </c>
      <c r="C152" t="s">
        <v>32</v>
      </c>
      <c r="D152" t="s">
        <v>41</v>
      </c>
      <c r="E152">
        <v>21</v>
      </c>
    </row>
    <row r="153" spans="1:5" x14ac:dyDescent="0.3">
      <c r="A153" t="s">
        <v>188</v>
      </c>
      <c r="B153" s="2">
        <v>46037</v>
      </c>
      <c r="C153" t="s">
        <v>32</v>
      </c>
      <c r="D153" t="s">
        <v>47</v>
      </c>
      <c r="E153">
        <v>45</v>
      </c>
    </row>
    <row r="154" spans="1:5" x14ac:dyDescent="0.3">
      <c r="A154" t="s">
        <v>189</v>
      </c>
      <c r="B154" s="2">
        <v>46354</v>
      </c>
      <c r="C154" t="s">
        <v>32</v>
      </c>
      <c r="D154" t="s">
        <v>38</v>
      </c>
      <c r="E154">
        <v>54</v>
      </c>
    </row>
    <row r="155" spans="1:5" x14ac:dyDescent="0.3">
      <c r="A155" t="s">
        <v>190</v>
      </c>
      <c r="B155" s="2">
        <v>46301</v>
      </c>
      <c r="C155" t="s">
        <v>32</v>
      </c>
      <c r="D155" t="s">
        <v>41</v>
      </c>
      <c r="E155">
        <v>49</v>
      </c>
    </row>
    <row r="156" spans="1:5" x14ac:dyDescent="0.3">
      <c r="A156" t="s">
        <v>191</v>
      </c>
      <c r="B156" s="2">
        <v>46182</v>
      </c>
      <c r="C156" t="s">
        <v>32</v>
      </c>
      <c r="D156" t="s">
        <v>44</v>
      </c>
      <c r="E156">
        <v>50</v>
      </c>
    </row>
    <row r="157" spans="1:5" x14ac:dyDescent="0.3">
      <c r="A157" t="s">
        <v>192</v>
      </c>
      <c r="B157" s="2">
        <v>46082</v>
      </c>
      <c r="C157" t="s">
        <v>29</v>
      </c>
      <c r="D157" t="s">
        <v>44</v>
      </c>
      <c r="E157">
        <v>53</v>
      </c>
    </row>
    <row r="158" spans="1:5" x14ac:dyDescent="0.3">
      <c r="A158" t="s">
        <v>193</v>
      </c>
      <c r="B158" s="2">
        <v>46107</v>
      </c>
      <c r="C158" t="s">
        <v>29</v>
      </c>
      <c r="D158" t="s">
        <v>47</v>
      </c>
      <c r="E158">
        <v>53</v>
      </c>
    </row>
    <row r="159" spans="1:5" x14ac:dyDescent="0.3">
      <c r="A159" t="s">
        <v>194</v>
      </c>
      <c r="B159" s="2">
        <v>46198</v>
      </c>
      <c r="C159" t="s">
        <v>37</v>
      </c>
      <c r="D159" t="s">
        <v>27</v>
      </c>
      <c r="E159">
        <v>32</v>
      </c>
    </row>
    <row r="160" spans="1:5" x14ac:dyDescent="0.3">
      <c r="A160" t="s">
        <v>195</v>
      </c>
      <c r="B160" s="2">
        <v>46384</v>
      </c>
      <c r="C160" t="s">
        <v>29</v>
      </c>
      <c r="D160" t="s">
        <v>41</v>
      </c>
      <c r="E160">
        <v>21</v>
      </c>
    </row>
    <row r="161" spans="1:5" x14ac:dyDescent="0.3">
      <c r="A161" t="s">
        <v>196</v>
      </c>
      <c r="B161" s="2">
        <v>46033</v>
      </c>
      <c r="C161" t="s">
        <v>37</v>
      </c>
      <c r="D161" t="s">
        <v>27</v>
      </c>
      <c r="E161">
        <v>21</v>
      </c>
    </row>
    <row r="162" spans="1:5" x14ac:dyDescent="0.3">
      <c r="A162" t="s">
        <v>197</v>
      </c>
      <c r="B162" s="2">
        <v>46386</v>
      </c>
      <c r="C162" t="s">
        <v>34</v>
      </c>
      <c r="D162" t="s">
        <v>47</v>
      </c>
      <c r="E162">
        <v>38</v>
      </c>
    </row>
    <row r="163" spans="1:5" x14ac:dyDescent="0.3">
      <c r="A163" t="s">
        <v>198</v>
      </c>
      <c r="B163" s="2">
        <v>46387</v>
      </c>
      <c r="C163" t="s">
        <v>34</v>
      </c>
      <c r="D163" t="s">
        <v>38</v>
      </c>
      <c r="E163">
        <v>72</v>
      </c>
    </row>
    <row r="164" spans="1:5" x14ac:dyDescent="0.3">
      <c r="A164" t="s">
        <v>199</v>
      </c>
      <c r="B164" s="2">
        <v>46382</v>
      </c>
      <c r="C164" t="s">
        <v>37</v>
      </c>
      <c r="D164" t="s">
        <v>27</v>
      </c>
      <c r="E164">
        <v>38</v>
      </c>
    </row>
    <row r="165" spans="1:5" x14ac:dyDescent="0.3">
      <c r="A165" t="s">
        <v>200</v>
      </c>
      <c r="B165" s="2">
        <v>46136</v>
      </c>
      <c r="C165" t="s">
        <v>34</v>
      </c>
      <c r="D165" t="s">
        <v>35</v>
      </c>
      <c r="E165">
        <v>15</v>
      </c>
    </row>
    <row r="166" spans="1:5" x14ac:dyDescent="0.3">
      <c r="A166" t="s">
        <v>201</v>
      </c>
      <c r="B166" s="2">
        <v>46330</v>
      </c>
      <c r="C166" t="s">
        <v>32</v>
      </c>
      <c r="D166" t="s">
        <v>35</v>
      </c>
      <c r="E166">
        <v>52</v>
      </c>
    </row>
    <row r="167" spans="1:5" x14ac:dyDescent="0.3">
      <c r="A167" t="s">
        <v>202</v>
      </c>
      <c r="B167" s="2">
        <v>46353</v>
      </c>
      <c r="C167" t="s">
        <v>29</v>
      </c>
      <c r="D167" t="s">
        <v>38</v>
      </c>
      <c r="E167">
        <v>61</v>
      </c>
    </row>
    <row r="168" spans="1:5" x14ac:dyDescent="0.3">
      <c r="A168" t="s">
        <v>203</v>
      </c>
      <c r="B168" s="2">
        <v>46225</v>
      </c>
      <c r="C168" t="s">
        <v>32</v>
      </c>
      <c r="D168" t="s">
        <v>35</v>
      </c>
      <c r="E168">
        <v>15</v>
      </c>
    </row>
    <row r="169" spans="1:5" x14ac:dyDescent="0.3">
      <c r="A169" t="s">
        <v>204</v>
      </c>
      <c r="B169" s="2">
        <v>46143</v>
      </c>
      <c r="C169" t="s">
        <v>37</v>
      </c>
      <c r="D169" t="s">
        <v>38</v>
      </c>
      <c r="E169">
        <v>39</v>
      </c>
    </row>
    <row r="170" spans="1:5" x14ac:dyDescent="0.3">
      <c r="A170" t="s">
        <v>205</v>
      </c>
      <c r="B170" s="2">
        <v>46275</v>
      </c>
      <c r="C170" t="s">
        <v>29</v>
      </c>
      <c r="D170" t="s">
        <v>47</v>
      </c>
      <c r="E170">
        <v>56</v>
      </c>
    </row>
    <row r="171" spans="1:5" x14ac:dyDescent="0.3">
      <c r="A171" t="s">
        <v>206</v>
      </c>
      <c r="B171" s="2">
        <v>46186</v>
      </c>
      <c r="C171" t="s">
        <v>29</v>
      </c>
      <c r="D171" t="s">
        <v>44</v>
      </c>
      <c r="E171">
        <v>60</v>
      </c>
    </row>
    <row r="172" spans="1:5" x14ac:dyDescent="0.3">
      <c r="A172" t="s">
        <v>207</v>
      </c>
      <c r="B172" s="2">
        <v>46361</v>
      </c>
      <c r="C172" t="s">
        <v>26</v>
      </c>
      <c r="D172" t="s">
        <v>38</v>
      </c>
      <c r="E172">
        <v>89</v>
      </c>
    </row>
    <row r="173" spans="1:5" x14ac:dyDescent="0.3">
      <c r="A173" t="s">
        <v>208</v>
      </c>
      <c r="B173" s="2">
        <v>46081</v>
      </c>
      <c r="C173" t="s">
        <v>32</v>
      </c>
      <c r="D173" t="s">
        <v>30</v>
      </c>
      <c r="E173">
        <v>102</v>
      </c>
    </row>
    <row r="174" spans="1:5" x14ac:dyDescent="0.3">
      <c r="A174" t="s">
        <v>209</v>
      </c>
      <c r="B174" s="2">
        <v>46369</v>
      </c>
      <c r="C174" t="s">
        <v>32</v>
      </c>
      <c r="D174" t="s">
        <v>38</v>
      </c>
      <c r="E174">
        <v>57</v>
      </c>
    </row>
    <row r="175" spans="1:5" x14ac:dyDescent="0.3">
      <c r="A175" t="s">
        <v>210</v>
      </c>
      <c r="B175" s="2">
        <v>46218</v>
      </c>
      <c r="C175" t="s">
        <v>37</v>
      </c>
      <c r="D175" t="s">
        <v>27</v>
      </c>
      <c r="E175">
        <v>11</v>
      </c>
    </row>
    <row r="176" spans="1:5" x14ac:dyDescent="0.3">
      <c r="A176" t="s">
        <v>211</v>
      </c>
      <c r="B176" s="2">
        <v>46288</v>
      </c>
      <c r="C176" t="s">
        <v>34</v>
      </c>
      <c r="D176" t="s">
        <v>47</v>
      </c>
      <c r="E176">
        <v>41</v>
      </c>
    </row>
    <row r="177" spans="1:5" x14ac:dyDescent="0.3">
      <c r="A177" t="s">
        <v>212</v>
      </c>
      <c r="B177" s="2">
        <v>46178</v>
      </c>
      <c r="C177" t="s">
        <v>26</v>
      </c>
      <c r="D177" t="s">
        <v>35</v>
      </c>
      <c r="E177">
        <v>40</v>
      </c>
    </row>
    <row r="178" spans="1:5" x14ac:dyDescent="0.3">
      <c r="A178" t="s">
        <v>213</v>
      </c>
      <c r="B178" s="2">
        <v>46290</v>
      </c>
      <c r="C178" t="s">
        <v>32</v>
      </c>
      <c r="D178" t="s">
        <v>30</v>
      </c>
      <c r="E178">
        <v>117</v>
      </c>
    </row>
    <row r="179" spans="1:5" x14ac:dyDescent="0.3">
      <c r="A179" t="s">
        <v>214</v>
      </c>
      <c r="B179" s="2">
        <v>46165</v>
      </c>
      <c r="C179" t="s">
        <v>32</v>
      </c>
      <c r="D179" t="s">
        <v>47</v>
      </c>
      <c r="E179">
        <v>56</v>
      </c>
    </row>
    <row r="180" spans="1:5" x14ac:dyDescent="0.3">
      <c r="A180" t="s">
        <v>215</v>
      </c>
      <c r="B180" s="2">
        <v>46031</v>
      </c>
      <c r="C180" t="s">
        <v>32</v>
      </c>
      <c r="D180" t="s">
        <v>35</v>
      </c>
      <c r="E180">
        <v>44</v>
      </c>
    </row>
    <row r="181" spans="1:5" x14ac:dyDescent="0.3">
      <c r="A181" t="s">
        <v>216</v>
      </c>
      <c r="B181" s="2">
        <v>46190</v>
      </c>
      <c r="C181" t="s">
        <v>26</v>
      </c>
      <c r="D181" t="s">
        <v>35</v>
      </c>
      <c r="E181">
        <v>32</v>
      </c>
    </row>
    <row r="182" spans="1:5" x14ac:dyDescent="0.3">
      <c r="A182" t="s">
        <v>217</v>
      </c>
      <c r="B182" s="2">
        <v>46276</v>
      </c>
      <c r="C182" t="s">
        <v>32</v>
      </c>
      <c r="D182" t="s">
        <v>41</v>
      </c>
      <c r="E182">
        <v>80</v>
      </c>
    </row>
    <row r="183" spans="1:5" x14ac:dyDescent="0.3">
      <c r="A183" t="s">
        <v>218</v>
      </c>
      <c r="B183" s="2">
        <v>46131</v>
      </c>
      <c r="C183" t="s">
        <v>32</v>
      </c>
      <c r="D183" t="s">
        <v>38</v>
      </c>
      <c r="E183">
        <v>20</v>
      </c>
    </row>
    <row r="184" spans="1:5" x14ac:dyDescent="0.3">
      <c r="A184" t="s">
        <v>219</v>
      </c>
      <c r="B184" s="2">
        <v>46029</v>
      </c>
      <c r="C184" t="s">
        <v>32</v>
      </c>
      <c r="D184" t="s">
        <v>30</v>
      </c>
      <c r="E184">
        <v>110</v>
      </c>
    </row>
    <row r="185" spans="1:5" x14ac:dyDescent="0.3">
      <c r="A185" t="s">
        <v>220</v>
      </c>
      <c r="B185" s="2">
        <v>46195</v>
      </c>
      <c r="C185" t="s">
        <v>37</v>
      </c>
      <c r="D185" t="s">
        <v>38</v>
      </c>
      <c r="E185">
        <v>75</v>
      </c>
    </row>
    <row r="186" spans="1:5" x14ac:dyDescent="0.3">
      <c r="A186" t="s">
        <v>221</v>
      </c>
      <c r="B186" s="2">
        <v>46130</v>
      </c>
      <c r="C186" t="s">
        <v>34</v>
      </c>
      <c r="D186" t="s">
        <v>44</v>
      </c>
      <c r="E186">
        <v>39</v>
      </c>
    </row>
    <row r="187" spans="1:5" x14ac:dyDescent="0.3">
      <c r="A187" t="s">
        <v>222</v>
      </c>
      <c r="B187" s="2">
        <v>46198</v>
      </c>
      <c r="C187" t="s">
        <v>34</v>
      </c>
      <c r="D187" t="s">
        <v>47</v>
      </c>
      <c r="E187">
        <v>42</v>
      </c>
    </row>
    <row r="188" spans="1:5" x14ac:dyDescent="0.3">
      <c r="A188" t="s">
        <v>223</v>
      </c>
      <c r="B188" s="2">
        <v>46238</v>
      </c>
      <c r="C188" t="s">
        <v>32</v>
      </c>
      <c r="D188" t="s">
        <v>38</v>
      </c>
      <c r="E188">
        <v>40</v>
      </c>
    </row>
    <row r="189" spans="1:5" x14ac:dyDescent="0.3">
      <c r="A189" t="s">
        <v>224</v>
      </c>
      <c r="B189" s="2">
        <v>46130</v>
      </c>
      <c r="C189" t="s">
        <v>37</v>
      </c>
      <c r="D189" t="s">
        <v>27</v>
      </c>
      <c r="E189">
        <v>36</v>
      </c>
    </row>
    <row r="190" spans="1:5" x14ac:dyDescent="0.3">
      <c r="A190" t="s">
        <v>225</v>
      </c>
      <c r="B190" s="2">
        <v>46225</v>
      </c>
      <c r="C190" t="s">
        <v>29</v>
      </c>
      <c r="D190" t="s">
        <v>44</v>
      </c>
      <c r="E190">
        <v>25</v>
      </c>
    </row>
    <row r="191" spans="1:5" x14ac:dyDescent="0.3">
      <c r="A191" t="s">
        <v>226</v>
      </c>
      <c r="B191" s="2">
        <v>46086</v>
      </c>
      <c r="C191" t="s">
        <v>29</v>
      </c>
      <c r="D191" t="s">
        <v>47</v>
      </c>
      <c r="E191">
        <v>42</v>
      </c>
    </row>
    <row r="192" spans="1:5" x14ac:dyDescent="0.3">
      <c r="A192" t="s">
        <v>227</v>
      </c>
      <c r="B192" s="2">
        <v>46060</v>
      </c>
      <c r="C192" t="s">
        <v>34</v>
      </c>
      <c r="D192" t="s">
        <v>38</v>
      </c>
      <c r="E192">
        <v>31</v>
      </c>
    </row>
    <row r="193" spans="1:5" x14ac:dyDescent="0.3">
      <c r="A193" t="s">
        <v>228</v>
      </c>
      <c r="B193" s="2">
        <v>46130</v>
      </c>
      <c r="C193" t="s">
        <v>32</v>
      </c>
      <c r="D193" t="s">
        <v>41</v>
      </c>
      <c r="E193">
        <v>83</v>
      </c>
    </row>
    <row r="194" spans="1:5" x14ac:dyDescent="0.3">
      <c r="A194" t="s">
        <v>229</v>
      </c>
      <c r="B194" s="2">
        <v>46218</v>
      </c>
      <c r="C194" t="s">
        <v>26</v>
      </c>
      <c r="D194" t="s">
        <v>38</v>
      </c>
      <c r="E194">
        <v>81</v>
      </c>
    </row>
    <row r="195" spans="1:5" x14ac:dyDescent="0.3">
      <c r="A195" t="s">
        <v>230</v>
      </c>
      <c r="B195" s="2">
        <v>46037</v>
      </c>
      <c r="C195" t="s">
        <v>37</v>
      </c>
      <c r="D195" t="s">
        <v>47</v>
      </c>
      <c r="E195">
        <v>30</v>
      </c>
    </row>
    <row r="196" spans="1:5" x14ac:dyDescent="0.3">
      <c r="A196" t="s">
        <v>231</v>
      </c>
      <c r="B196" s="2">
        <v>46139</v>
      </c>
      <c r="C196" t="s">
        <v>29</v>
      </c>
      <c r="D196" t="s">
        <v>38</v>
      </c>
      <c r="E196">
        <v>77</v>
      </c>
    </row>
    <row r="197" spans="1:5" x14ac:dyDescent="0.3">
      <c r="A197" t="s">
        <v>232</v>
      </c>
      <c r="B197" s="2">
        <v>46307</v>
      </c>
      <c r="C197" t="s">
        <v>26</v>
      </c>
      <c r="D197" t="s">
        <v>35</v>
      </c>
      <c r="E197">
        <v>38</v>
      </c>
    </row>
    <row r="198" spans="1:5" x14ac:dyDescent="0.3">
      <c r="A198" t="s">
        <v>233</v>
      </c>
      <c r="B198" s="2">
        <v>46255</v>
      </c>
      <c r="C198" t="s">
        <v>34</v>
      </c>
      <c r="D198" t="s">
        <v>30</v>
      </c>
      <c r="E198">
        <v>121</v>
      </c>
    </row>
    <row r="199" spans="1:5" x14ac:dyDescent="0.3">
      <c r="A199" t="s">
        <v>234</v>
      </c>
      <c r="B199" s="2">
        <v>46108</v>
      </c>
      <c r="C199" t="s">
        <v>34</v>
      </c>
      <c r="D199" t="s">
        <v>30</v>
      </c>
      <c r="E199">
        <v>121</v>
      </c>
    </row>
    <row r="200" spans="1:5" x14ac:dyDescent="0.3">
      <c r="A200" t="s">
        <v>235</v>
      </c>
      <c r="B200" s="2">
        <v>46156</v>
      </c>
      <c r="C200" t="s">
        <v>29</v>
      </c>
      <c r="D200" t="s">
        <v>30</v>
      </c>
      <c r="E200">
        <v>107</v>
      </c>
    </row>
    <row r="201" spans="1:5" x14ac:dyDescent="0.3">
      <c r="A201" t="s">
        <v>236</v>
      </c>
      <c r="B201" s="2">
        <v>46060</v>
      </c>
      <c r="C201" t="s">
        <v>26</v>
      </c>
      <c r="D201" t="s">
        <v>44</v>
      </c>
      <c r="E201">
        <v>48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26E8D-ABBE-4298-889E-D4B962B6C8C5}">
  <dimension ref="A1:V9"/>
  <sheetViews>
    <sheetView workbookViewId="0">
      <selection activeCell="V18" sqref="V18"/>
    </sheetView>
  </sheetViews>
  <sheetFormatPr defaultColWidth="20.21875" defaultRowHeight="14.4" x14ac:dyDescent="0.3"/>
  <sheetData>
    <row r="1" spans="1:22" x14ac:dyDescent="0.3">
      <c r="A1" s="5" t="s">
        <v>1221</v>
      </c>
      <c r="B1" t="s">
        <v>1223</v>
      </c>
      <c r="D1" s="5" t="s">
        <v>1221</v>
      </c>
      <c r="E1" t="s">
        <v>1224</v>
      </c>
      <c r="G1" s="5" t="s">
        <v>1221</v>
      </c>
      <c r="H1" t="s">
        <v>1225</v>
      </c>
      <c r="J1" s="5" t="s">
        <v>1221</v>
      </c>
      <c r="K1" t="s">
        <v>1225</v>
      </c>
      <c r="M1" s="5" t="s">
        <v>1221</v>
      </c>
      <c r="N1" t="s">
        <v>1226</v>
      </c>
      <c r="P1" t="s">
        <v>1227</v>
      </c>
      <c r="Q1" t="s">
        <v>1228</v>
      </c>
      <c r="R1" t="s">
        <v>1229</v>
      </c>
      <c r="S1" t="s">
        <v>1230</v>
      </c>
      <c r="U1" s="7" t="s">
        <v>1231</v>
      </c>
      <c r="V1" s="8" t="s">
        <v>1232</v>
      </c>
    </row>
    <row r="2" spans="1:22" x14ac:dyDescent="0.3">
      <c r="A2" s="6" t="s">
        <v>252</v>
      </c>
      <c r="B2" s="4">
        <v>185.66757308062259</v>
      </c>
      <c r="D2" s="6" t="s">
        <v>252</v>
      </c>
      <c r="E2" s="3">
        <v>0.93402772084888674</v>
      </c>
      <c r="G2" s="6" t="s">
        <v>30</v>
      </c>
      <c r="H2">
        <v>3668</v>
      </c>
      <c r="J2" s="6" t="s">
        <v>32</v>
      </c>
      <c r="K2">
        <v>2639</v>
      </c>
      <c r="M2" s="6" t="s">
        <v>677</v>
      </c>
      <c r="N2">
        <v>65</v>
      </c>
      <c r="P2" t="s">
        <v>30</v>
      </c>
      <c r="Q2">
        <v>3668</v>
      </c>
      <c r="R2" s="3">
        <f>Q2/SUM($Q$2:$Q$8)</f>
        <v>0.32451561532336548</v>
      </c>
      <c r="S2" s="3">
        <f>SUM($R$2:R2)</f>
        <v>0.32451561532336548</v>
      </c>
      <c r="U2" s="9" t="s">
        <v>1233</v>
      </c>
      <c r="V2" s="8" t="s">
        <v>1234</v>
      </c>
    </row>
    <row r="3" spans="1:22" x14ac:dyDescent="0.3">
      <c r="A3" s="6" t="s">
        <v>278</v>
      </c>
      <c r="B3" s="4">
        <v>166.92793390301262</v>
      </c>
      <c r="D3" s="6" t="s">
        <v>278</v>
      </c>
      <c r="E3" s="3">
        <v>0.91448718635240667</v>
      </c>
      <c r="G3" s="6" t="s">
        <v>38</v>
      </c>
      <c r="H3">
        <v>2875</v>
      </c>
      <c r="J3" s="6" t="s">
        <v>26</v>
      </c>
      <c r="K3">
        <v>2585</v>
      </c>
      <c r="M3" s="6" t="s">
        <v>647</v>
      </c>
      <c r="N3">
        <v>435</v>
      </c>
      <c r="P3" t="s">
        <v>38</v>
      </c>
      <c r="Q3">
        <v>2875</v>
      </c>
      <c r="R3" s="3">
        <f t="shared" ref="R3:R8" si="0">Q3/SUM($Q$2:$Q$8)</f>
        <v>0.25435725028753431</v>
      </c>
      <c r="S3" s="3">
        <f>SUM($R$2:R3)</f>
        <v>0.57887286561089979</v>
      </c>
      <c r="U3" s="9" t="s">
        <v>1235</v>
      </c>
      <c r="V3" s="10">
        <v>0.88270000000000004</v>
      </c>
    </row>
    <row r="4" spans="1:22" x14ac:dyDescent="0.3">
      <c r="A4" s="6" t="s">
        <v>244</v>
      </c>
      <c r="B4" s="4">
        <v>158.19823983339546</v>
      </c>
      <c r="D4" s="6" t="s">
        <v>244</v>
      </c>
      <c r="E4" s="3">
        <v>0.905119040600605</v>
      </c>
      <c r="G4" s="6" t="s">
        <v>41</v>
      </c>
      <c r="H4">
        <v>1327</v>
      </c>
      <c r="J4" s="6" t="s">
        <v>29</v>
      </c>
      <c r="K4">
        <v>2397</v>
      </c>
      <c r="M4" s="6" t="s">
        <v>1222</v>
      </c>
      <c r="N4">
        <v>500</v>
      </c>
      <c r="P4" t="s">
        <v>41</v>
      </c>
      <c r="Q4">
        <v>1327</v>
      </c>
      <c r="R4" s="3">
        <f t="shared" si="0"/>
        <v>0.11740245952402018</v>
      </c>
      <c r="S4" s="3">
        <f>SUM($R$2:R4)</f>
        <v>0.69627532513491996</v>
      </c>
      <c r="U4" s="9" t="s">
        <v>1236</v>
      </c>
      <c r="V4" s="8" t="s">
        <v>1237</v>
      </c>
    </row>
    <row r="5" spans="1:22" x14ac:dyDescent="0.3">
      <c r="A5" s="6" t="s">
        <v>240</v>
      </c>
      <c r="B5" s="4">
        <v>136.59460920891868</v>
      </c>
      <c r="D5" s="6" t="s">
        <v>240</v>
      </c>
      <c r="E5" s="3">
        <v>0.8772532879093633</v>
      </c>
      <c r="G5" s="6" t="s">
        <v>47</v>
      </c>
      <c r="H5">
        <v>1103</v>
      </c>
      <c r="J5" s="6" t="s">
        <v>34</v>
      </c>
      <c r="K5">
        <v>2065</v>
      </c>
      <c r="P5" t="s">
        <v>47</v>
      </c>
      <c r="Q5">
        <v>1103</v>
      </c>
      <c r="R5" s="3">
        <f t="shared" si="0"/>
        <v>9.7584712023356626E-2</v>
      </c>
      <c r="S5" s="3">
        <f>SUM($R$2:R5)</f>
        <v>0.79386003715827658</v>
      </c>
      <c r="U5" s="9" t="s">
        <v>1238</v>
      </c>
      <c r="V5" s="10">
        <v>0.87</v>
      </c>
    </row>
    <row r="6" spans="1:22" x14ac:dyDescent="0.3">
      <c r="A6" s="6" t="s">
        <v>257</v>
      </c>
      <c r="B6" s="4">
        <v>103.40623274488595</v>
      </c>
      <c r="D6" s="6" t="s">
        <v>257</v>
      </c>
      <c r="E6" s="3">
        <v>0.78902388718329253</v>
      </c>
      <c r="G6" s="6" t="s">
        <v>35</v>
      </c>
      <c r="H6">
        <v>1040</v>
      </c>
      <c r="J6" s="6" t="s">
        <v>37</v>
      </c>
      <c r="K6">
        <v>1617</v>
      </c>
      <c r="P6" t="s">
        <v>35</v>
      </c>
      <c r="Q6">
        <v>1040</v>
      </c>
      <c r="R6" s="3">
        <f t="shared" si="0"/>
        <v>9.2010970538795006E-2</v>
      </c>
      <c r="S6" s="3">
        <f>SUM($R$2:R6)</f>
        <v>0.88587100769707161</v>
      </c>
    </row>
    <row r="7" spans="1:22" x14ac:dyDescent="0.3">
      <c r="A7" s="6" t="s">
        <v>1222</v>
      </c>
      <c r="B7" s="4">
        <v>149.25688141377137</v>
      </c>
      <c r="D7" s="6" t="s">
        <v>1222</v>
      </c>
      <c r="E7" s="3">
        <v>0.88268946108118695</v>
      </c>
      <c r="G7" s="6" t="s">
        <v>44</v>
      </c>
      <c r="H7">
        <v>776</v>
      </c>
      <c r="J7" s="6" t="s">
        <v>1222</v>
      </c>
      <c r="K7">
        <v>11303</v>
      </c>
      <c r="P7" t="s">
        <v>44</v>
      </c>
      <c r="Q7">
        <v>776</v>
      </c>
      <c r="R7" s="3">
        <f t="shared" si="0"/>
        <v>6.8654339555870122E-2</v>
      </c>
      <c r="S7" s="3">
        <f>SUM($R$2:R7)</f>
        <v>0.95452534725294169</v>
      </c>
    </row>
    <row r="8" spans="1:22" x14ac:dyDescent="0.3">
      <c r="G8" s="6" t="s">
        <v>27</v>
      </c>
      <c r="H8">
        <v>514</v>
      </c>
      <c r="P8" t="s">
        <v>27</v>
      </c>
      <c r="Q8">
        <v>514</v>
      </c>
      <c r="R8" s="3">
        <f t="shared" si="0"/>
        <v>4.5474652747058301E-2</v>
      </c>
      <c r="S8" s="3">
        <f>SUM($R$2:R8)</f>
        <v>1</v>
      </c>
    </row>
    <row r="9" spans="1:22" x14ac:dyDescent="0.3">
      <c r="G9" s="6" t="s">
        <v>1222</v>
      </c>
      <c r="H9">
        <v>11303</v>
      </c>
    </row>
  </sheetData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Customers</vt:lpstr>
      <vt:lpstr>Pickups</vt:lpstr>
      <vt:lpstr>Processing_Batches</vt:lpstr>
      <vt:lpstr>Quality_Records</vt:lpstr>
      <vt:lpstr>Downtime_Events</vt:lpstr>
      <vt:lpstr>Excel_Analysis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M</dc:creator>
  <cp:lastModifiedBy>Kevin M</cp:lastModifiedBy>
  <dcterms:created xsi:type="dcterms:W3CDTF">2026-09-13T15:40:13Z</dcterms:created>
  <dcterms:modified xsi:type="dcterms:W3CDTF">2026-09-16T22:50:55Z</dcterms:modified>
</cp:coreProperties>
</file>